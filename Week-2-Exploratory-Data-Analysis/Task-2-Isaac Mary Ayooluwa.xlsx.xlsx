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 5400 TOUCH\Documents\"/>
    </mc:Choice>
  </mc:AlternateContent>
  <xr:revisionPtr revIDLastSave="0" documentId="13_ncr:1_{93D7C9D8-86AB-45F4-A0E6-8CCEF5584499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essy Data" sheetId="1" r:id="rId1"/>
    <sheet name="Cleaned Data" sheetId="2" r:id="rId2"/>
    <sheet name="Descriptive Analysis" sheetId="4" r:id="rId3"/>
    <sheet name="Outliers" sheetId="6" r:id="rId4"/>
    <sheet name="Key Observation Summary" sheetId="7" r:id="rId5"/>
  </sheets>
  <definedNames>
    <definedName name="ExternalData_1" localSheetId="1" hidden="1">'Cleaned Data'!$A$1:$N$1201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6" l="1"/>
  <c r="D8" i="6"/>
  <c r="D7" i="6"/>
  <c r="D6" i="6"/>
  <c r="D5" i="6"/>
  <c r="D4" i="6"/>
  <c r="F11" i="4"/>
  <c r="F10" i="4"/>
  <c r="F9" i="4"/>
  <c r="F8" i="4"/>
  <c r="F7" i="4"/>
  <c r="F6" i="4"/>
  <c r="F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9EF943-2B72-4668-8BAB-F8F3F9AD627D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<sst xmlns="http://schemas.openxmlformats.org/spreadsheetml/2006/main" count="22575" uniqueCount="4981">
  <si>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</si>
  <si>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</si>
  <si>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</si>
  <si>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</si>
  <si>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</si>
  <si>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</si>
  <si>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</si>
  <si>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</si>
  <si>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</si>
  <si>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</si>
  <si>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</si>
  <si>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</si>
  <si>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</si>
  <si>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</si>
  <si>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</si>
  <si>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</si>
  <si>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</si>
  <si>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</si>
  <si>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</si>
  <si>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</si>
  <si>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</si>
  <si>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</si>
  <si>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</si>
  <si>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</si>
  <si>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</si>
  <si>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</si>
  <si>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</si>
  <si>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</si>
  <si>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</si>
  <si>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</si>
  <si>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</si>
  <si>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</si>
  <si>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</si>
  <si>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</si>
  <si>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</si>
  <si>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</si>
  <si>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</si>
  <si>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</si>
  <si>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</si>
  <si>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</si>
  <si>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</si>
  <si>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</si>
  <si>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</si>
  <si>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</si>
  <si>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</si>
  <si>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</si>
  <si>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</si>
  <si>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</si>
  <si>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</si>
  <si>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</si>
  <si>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</si>
  <si>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</si>
  <si>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</si>
  <si>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</si>
  <si>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</si>
  <si>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</si>
  <si>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</si>
  <si>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</si>
  <si>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</si>
  <si>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</si>
  <si>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</si>
  <si>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</si>
  <si>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</si>
  <si>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</si>
  <si>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</si>
  <si>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</si>
  <si>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</si>
  <si>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</si>
  <si>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</si>
  <si>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</si>
  <si>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</si>
  <si>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</si>
  <si>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</si>
  <si>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</si>
  <si>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</si>
  <si>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</si>
  <si>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</si>
  <si>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</si>
  <si>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</si>
  <si>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</si>
  <si>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</si>
  <si>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</si>
  <si>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</si>
  <si>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</si>
  <si>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</si>
  <si>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</si>
  <si>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</si>
  <si>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</si>
  <si>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</si>
  <si>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</si>
  <si>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</si>
  <si>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</si>
  <si>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</si>
  <si>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</si>
  <si>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</si>
  <si>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</si>
  <si>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</si>
  <si>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</si>
  <si>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</si>
  <si>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</si>
  <si>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</si>
  <si>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</si>
  <si>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</si>
  <si>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</si>
  <si>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</si>
  <si>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</si>
  <si>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</si>
  <si>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</si>
  <si>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</si>
  <si>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</si>
  <si>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</si>
  <si>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</si>
  <si>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</si>
  <si>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</si>
  <si>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</si>
  <si>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</si>
  <si>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</si>
  <si>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</si>
  <si>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</si>
  <si>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</si>
  <si>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</si>
  <si>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</si>
  <si>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</si>
  <si>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</si>
  <si>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</si>
  <si>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</si>
  <si>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</si>
  <si>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</si>
  <si>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</si>
  <si>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</si>
  <si>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</si>
  <si>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</si>
  <si>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</si>
  <si>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</si>
  <si>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</si>
  <si>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</si>
  <si>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</si>
  <si>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</si>
  <si>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</si>
  <si>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</si>
  <si>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</si>
  <si>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</si>
  <si>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</si>
  <si>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</si>
  <si>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</si>
  <si>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</si>
  <si>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</si>
  <si>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</si>
  <si>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</si>
  <si>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</si>
  <si>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</si>
  <si>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</si>
  <si>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</si>
  <si>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</si>
  <si>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</si>
  <si>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</si>
  <si>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</si>
  <si>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</si>
  <si>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</si>
  <si>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</si>
  <si>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</si>
  <si>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</si>
  <si>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</si>
  <si>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</si>
  <si>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</si>
  <si>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</si>
  <si>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</si>
  <si>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</si>
  <si>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</si>
  <si>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</si>
  <si>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</si>
  <si>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</si>
  <si>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</si>
  <si>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</si>
  <si>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</si>
  <si>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</si>
  <si>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</si>
  <si>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</si>
  <si>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</si>
  <si>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</si>
  <si>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</si>
  <si>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</si>
  <si>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</si>
  <si>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</si>
  <si>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</si>
  <si>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</si>
  <si>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</si>
  <si>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</si>
  <si>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</si>
  <si>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</si>
  <si>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</si>
  <si>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</si>
  <si>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</si>
  <si>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</si>
  <si>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</si>
  <si>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</si>
  <si>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</si>
  <si>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</si>
  <si>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</si>
  <si>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</si>
  <si>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</si>
  <si>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</si>
  <si>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</si>
  <si>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</si>
  <si>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</si>
  <si>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</si>
  <si>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</si>
  <si>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</si>
  <si>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</si>
  <si>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</si>
  <si>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</si>
  <si>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</si>
  <si>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</si>
  <si>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</si>
  <si>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</si>
  <si>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</si>
  <si>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</si>
  <si>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</si>
  <si>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</si>
  <si>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</si>
  <si>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</si>
  <si>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</si>
  <si>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</si>
  <si>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</si>
  <si>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</si>
  <si>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</si>
  <si>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</si>
  <si>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</si>
  <si>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</si>
  <si>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</si>
  <si>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</si>
  <si>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</si>
  <si>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</si>
  <si>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</si>
  <si>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</si>
  <si>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</si>
  <si>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</si>
  <si>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</si>
  <si>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</si>
  <si>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</si>
  <si>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</si>
  <si>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</si>
  <si>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</si>
  <si>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</si>
  <si>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</si>
  <si>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</si>
  <si>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</si>
  <si>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</si>
  <si>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</si>
  <si>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</si>
  <si>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</si>
  <si>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</si>
  <si>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</si>
  <si>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</si>
  <si>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</si>
  <si>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</si>
  <si>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</si>
  <si>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</si>
  <si>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</si>
  <si>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</si>
  <si>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</si>
  <si>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</si>
  <si>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</si>
  <si>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</si>
  <si>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</si>
  <si>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</si>
  <si>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</si>
  <si>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</si>
  <si>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</si>
  <si>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</si>
  <si>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</si>
  <si>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</si>
  <si>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</si>
  <si>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</si>
  <si>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</si>
  <si>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</si>
  <si>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</si>
  <si>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</si>
  <si>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</si>
  <si>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</si>
  <si>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</si>
  <si>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</si>
  <si>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</si>
  <si>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</si>
  <si>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</si>
  <si>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</si>
  <si>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</si>
  <si>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</si>
  <si>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</si>
  <si>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</si>
  <si>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</si>
  <si>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</si>
  <si>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</si>
  <si>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</si>
  <si>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</si>
  <si>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</si>
  <si>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</si>
  <si>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</si>
  <si>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</si>
  <si>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</si>
  <si>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</si>
  <si>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</si>
  <si>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</si>
  <si>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</si>
  <si>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</si>
  <si>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</si>
  <si>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</si>
  <si>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</si>
  <si>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</si>
  <si>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</si>
  <si>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</si>
  <si>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</si>
  <si>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</si>
  <si>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</si>
  <si>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</si>
  <si>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</si>
  <si>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</si>
  <si>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</si>
  <si>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</si>
  <si>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</si>
  <si>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</si>
  <si>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</si>
  <si>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</si>
  <si>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</si>
  <si>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</si>
  <si>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</si>
  <si>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</si>
  <si>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</si>
  <si>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</si>
  <si>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</si>
  <si>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</si>
  <si>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</si>
  <si>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</si>
  <si>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</si>
  <si>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</si>
  <si>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</si>
  <si>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</si>
  <si>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</si>
  <si>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</si>
  <si>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</si>
  <si>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</si>
  <si>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</si>
  <si>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</si>
  <si>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</si>
  <si>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</si>
  <si>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</si>
  <si>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</si>
  <si>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</si>
  <si>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</si>
  <si>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</si>
  <si>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</si>
  <si>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</si>
  <si>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</si>
  <si>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</si>
  <si>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</si>
  <si>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</si>
  <si>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</si>
  <si>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</si>
  <si>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</si>
  <si>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</si>
  <si>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</si>
  <si>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</si>
  <si>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</si>
  <si>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</si>
  <si>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</si>
  <si>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</si>
  <si>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</si>
  <si>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</si>
  <si>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</si>
  <si>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</si>
  <si>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</si>
  <si>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</si>
  <si>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</si>
  <si>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</si>
  <si>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</si>
  <si>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</si>
  <si>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</si>
  <si>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</si>
  <si>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</si>
  <si>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</si>
  <si>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</si>
  <si>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</si>
  <si>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</si>
  <si>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</si>
  <si>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</si>
  <si>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</si>
  <si>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</si>
  <si>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</si>
  <si>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</si>
  <si>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</si>
  <si>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</si>
  <si>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</si>
  <si>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</si>
  <si>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</si>
  <si>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</si>
  <si>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</si>
  <si>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</si>
  <si>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</si>
  <si>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</si>
  <si>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</si>
  <si>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</si>
  <si>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</si>
  <si>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</si>
  <si>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</si>
  <si>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</si>
  <si>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</si>
  <si>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</si>
  <si>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</si>
  <si>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</si>
  <si>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</si>
  <si>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</si>
  <si>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</si>
  <si>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</si>
  <si>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</si>
  <si>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</si>
  <si>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</si>
  <si>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</si>
  <si>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</si>
  <si>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</si>
  <si>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</si>
  <si>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</si>
  <si>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</si>
  <si>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</si>
  <si>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</si>
  <si>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</si>
  <si>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</si>
  <si>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</si>
  <si>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</si>
  <si>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</si>
  <si>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</si>
  <si>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</si>
  <si>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</si>
  <si>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</si>
  <si>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</si>
  <si>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</si>
  <si>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</si>
  <si>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</si>
  <si>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</si>
  <si>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</si>
  <si>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</si>
  <si>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</si>
  <si>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</si>
  <si>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</si>
  <si>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</si>
  <si>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</si>
  <si>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</si>
  <si>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</si>
  <si>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</si>
  <si>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</si>
  <si>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</si>
  <si>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</si>
  <si>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</si>
  <si>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</si>
  <si>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</si>
  <si>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</si>
  <si>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</si>
  <si>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</si>
  <si>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</si>
  <si>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</si>
  <si>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</si>
  <si>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</si>
  <si>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</si>
  <si>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</si>
  <si>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</si>
  <si>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</si>
  <si>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</si>
  <si>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</si>
  <si>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</si>
  <si>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</si>
  <si>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</si>
  <si>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</si>
  <si>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</si>
  <si>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</si>
  <si>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</si>
  <si>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</si>
  <si>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</si>
  <si>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</si>
  <si>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</si>
  <si>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</si>
  <si>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</si>
  <si>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</si>
  <si>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</si>
  <si>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</si>
  <si>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</si>
  <si>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</si>
  <si>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</si>
  <si>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</si>
  <si>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</si>
  <si>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</si>
  <si>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</si>
  <si>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</si>
  <si>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</si>
  <si>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</si>
  <si>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</si>
  <si>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</si>
  <si>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</si>
  <si>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</si>
  <si>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</si>
  <si>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</si>
  <si>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</si>
  <si>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</si>
  <si>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</si>
  <si>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</si>
  <si>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</si>
  <si>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</si>
  <si>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</si>
  <si>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</si>
  <si>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</si>
  <si>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</si>
  <si>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</si>
  <si>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</si>
  <si>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</si>
  <si>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</si>
  <si>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</si>
  <si>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</si>
  <si>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</si>
  <si>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</si>
  <si>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</si>
  <si>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</si>
  <si>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</si>
  <si>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</si>
  <si>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</si>
  <si>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</si>
  <si>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</si>
  <si>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</si>
  <si>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</si>
  <si>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</si>
  <si>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</si>
  <si>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</si>
  <si>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</si>
  <si>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</si>
  <si>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</si>
  <si>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</si>
  <si>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</si>
  <si>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</si>
  <si>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</si>
  <si>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</si>
  <si>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</si>
  <si>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</si>
  <si>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</si>
  <si>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</si>
  <si>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</si>
  <si>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</si>
  <si>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</si>
  <si>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</si>
  <si>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</si>
  <si>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</si>
  <si>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</si>
  <si>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</si>
  <si>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</si>
  <si>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</si>
  <si>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</si>
  <si>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</si>
  <si>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</si>
  <si>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</si>
  <si>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</si>
  <si>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</si>
  <si>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</si>
  <si>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</si>
  <si>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</si>
  <si>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</si>
  <si>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</si>
  <si>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</si>
  <si>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</si>
  <si>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</si>
  <si>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</si>
  <si>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</si>
  <si>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</si>
  <si>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</si>
  <si>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</si>
  <si>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</si>
  <si>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</si>
  <si>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</si>
  <si>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</si>
  <si>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</si>
  <si>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</si>
  <si>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</si>
  <si>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</si>
  <si>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</si>
  <si>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</si>
  <si>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</si>
  <si>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</si>
  <si>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</si>
  <si>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</si>
  <si>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</si>
  <si>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</si>
  <si>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</si>
  <si>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</si>
  <si>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</si>
  <si>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</si>
  <si>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</si>
  <si>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</si>
  <si>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</si>
  <si>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</si>
  <si>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</si>
  <si>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</si>
  <si>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</si>
  <si>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</si>
  <si>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</si>
  <si>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</si>
  <si>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</si>
  <si>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</si>
  <si>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</si>
  <si>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</si>
  <si>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</si>
  <si>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</si>
  <si>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</si>
  <si>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</si>
  <si>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</si>
  <si>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</si>
  <si>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</si>
  <si>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</si>
  <si>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</si>
  <si>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</si>
  <si>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</si>
  <si>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</si>
  <si>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</si>
  <si>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</si>
  <si>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</si>
  <si>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</si>
  <si>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</si>
  <si>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</si>
  <si>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</si>
  <si>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</si>
  <si>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</si>
  <si>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</si>
  <si>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</si>
  <si>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</si>
  <si>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</si>
  <si>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</si>
  <si>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</si>
  <si>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</si>
  <si>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</si>
  <si>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</si>
  <si>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</si>
  <si>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</si>
  <si>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</si>
  <si>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</si>
  <si>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</si>
  <si>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</si>
  <si>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</si>
  <si>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</si>
  <si>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</si>
  <si>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</si>
  <si>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</si>
  <si>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</si>
  <si>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</si>
  <si>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</si>
  <si>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</si>
  <si>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</si>
  <si>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</si>
  <si>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</si>
  <si>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</si>
  <si>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</si>
  <si>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</si>
  <si>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</si>
  <si>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</si>
  <si>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</si>
  <si>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</si>
  <si>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</si>
  <si>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</si>
  <si>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</si>
  <si>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</si>
  <si>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</si>
  <si>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</si>
  <si>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</si>
  <si>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</si>
  <si>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</si>
  <si>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</si>
  <si>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</si>
  <si>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</si>
  <si>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</si>
  <si>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</si>
  <si>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</si>
  <si>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</si>
  <si>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</si>
  <si>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</si>
  <si>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</si>
  <si>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</si>
  <si>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</si>
  <si>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</si>
  <si>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</si>
  <si>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</si>
  <si>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</si>
  <si>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</si>
  <si>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</si>
  <si>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</si>
  <si>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</si>
  <si>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</si>
  <si>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</si>
  <si>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</si>
  <si>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</si>
  <si>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</si>
  <si>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</si>
  <si>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</si>
  <si>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</si>
  <si>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</si>
  <si>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</si>
  <si>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</si>
  <si>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</si>
  <si>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</si>
  <si>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</si>
  <si>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</si>
  <si>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</si>
  <si>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</si>
  <si>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</si>
  <si>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</si>
  <si>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</si>
  <si>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</si>
  <si>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</si>
  <si>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</si>
  <si>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</si>
  <si>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</si>
  <si>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</si>
  <si>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</si>
  <si>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</si>
  <si>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</si>
  <si>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</si>
  <si>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</si>
  <si>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</si>
  <si>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</si>
  <si>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</si>
  <si>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</si>
  <si>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</si>
  <si>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</si>
  <si>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</si>
  <si>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</si>
  <si>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</si>
  <si>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</si>
  <si>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</si>
  <si>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</si>
  <si>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</si>
  <si>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</si>
  <si>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</si>
  <si>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</si>
  <si>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</si>
  <si>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</si>
  <si>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</si>
  <si>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</si>
  <si>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</si>
  <si>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</si>
  <si>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</si>
  <si>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</si>
  <si>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</si>
  <si>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</si>
  <si>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</si>
  <si>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</si>
  <si>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</si>
  <si>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</si>
  <si>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</si>
  <si>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</si>
  <si>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</si>
  <si>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</si>
  <si>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</si>
  <si>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</si>
  <si>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</si>
  <si>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</si>
  <si>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</si>
  <si>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</si>
  <si>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</si>
  <si>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</si>
  <si>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</si>
  <si>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</si>
  <si>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</si>
  <si>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</si>
  <si>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</si>
  <si>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</si>
  <si>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</si>
  <si>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</si>
  <si>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</si>
  <si>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</si>
  <si>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</si>
  <si>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</si>
  <si>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</si>
  <si>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</si>
  <si>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</si>
  <si>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</si>
  <si>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</si>
  <si>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</si>
  <si>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</si>
  <si>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</si>
  <si>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</si>
  <si>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</si>
  <si>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</si>
  <si>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</si>
  <si>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</si>
  <si>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</si>
  <si>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</si>
  <si>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</si>
  <si>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</si>
  <si>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</si>
  <si>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</si>
  <si>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</si>
  <si>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</si>
  <si>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</si>
  <si>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</si>
  <si>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</si>
  <si>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</si>
  <si>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</si>
  <si>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</si>
  <si>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</si>
  <si>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</si>
  <si>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</si>
  <si>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</si>
  <si>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</si>
  <si>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</si>
  <si>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</si>
  <si>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</si>
  <si>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</si>
  <si>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</si>
  <si>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</si>
  <si>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</si>
  <si>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</si>
  <si>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</si>
  <si>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</si>
  <si>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</si>
  <si>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</si>
  <si>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</si>
  <si>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</si>
  <si>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</si>
  <si>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</si>
  <si>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</si>
  <si>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</si>
  <si>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</si>
  <si>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</si>
  <si>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</si>
  <si>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</si>
  <si>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</si>
  <si>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</si>
  <si>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</si>
  <si>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</si>
  <si>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</si>
  <si>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</si>
  <si>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</si>
  <si>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</si>
  <si>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</si>
  <si>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</si>
  <si>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</si>
  <si>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</si>
  <si>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</si>
  <si>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</si>
  <si>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</si>
  <si>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</si>
  <si>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</si>
  <si>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</si>
  <si>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</si>
  <si>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</si>
  <si>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</si>
  <si>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</si>
  <si>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</si>
  <si>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</si>
  <si>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</si>
  <si>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</si>
  <si>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</si>
  <si>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</si>
  <si>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</si>
  <si>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</si>
  <si>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</si>
  <si>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</si>
  <si>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</si>
  <si>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</si>
  <si>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</si>
  <si>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</si>
  <si>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</si>
  <si>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</si>
  <si>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</si>
  <si>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</si>
  <si>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</si>
  <si>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</si>
  <si>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</si>
  <si>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</si>
  <si>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</si>
  <si>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</si>
  <si>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</si>
  <si>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</si>
  <si>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</si>
  <si>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</si>
  <si>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</si>
  <si>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</si>
  <si>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</si>
  <si>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</si>
  <si>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</si>
  <si>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</si>
  <si>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</si>
  <si>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</si>
  <si>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</si>
  <si>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</si>
  <si>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</si>
  <si>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</si>
  <si>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</si>
  <si>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</si>
  <si>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</si>
  <si>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</si>
  <si>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</si>
  <si>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</si>
  <si>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</si>
  <si>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</si>
  <si>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</si>
  <si>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</si>
  <si>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</si>
  <si>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</si>
  <si>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</si>
  <si>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</si>
  <si>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</si>
  <si>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</si>
  <si>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</si>
  <si>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</si>
  <si>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</si>
  <si>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</si>
  <si>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</si>
  <si>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</si>
  <si>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</si>
  <si>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</si>
  <si>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</si>
  <si>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</si>
  <si>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</si>
  <si>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</si>
  <si>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</si>
  <si>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</si>
  <si>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</si>
  <si>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</si>
  <si>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</si>
  <si>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</si>
  <si>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</si>
  <si>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</si>
  <si>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</si>
  <si>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</si>
  <si>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</si>
  <si>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</si>
  <si>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</si>
  <si>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</si>
  <si>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</si>
  <si>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</si>
  <si>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</si>
  <si>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</si>
  <si>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</si>
  <si>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</si>
  <si>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</si>
  <si>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</si>
  <si>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</si>
  <si>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</si>
  <si>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</si>
  <si>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</si>
  <si>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</si>
  <si>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</si>
  <si>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</si>
  <si>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</si>
  <si>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</si>
  <si>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</si>
  <si>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</si>
  <si>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</si>
  <si>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</si>
  <si>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</si>
  <si>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</si>
  <si>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</si>
  <si>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</si>
  <si>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</si>
  <si>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</si>
  <si>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</si>
  <si>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</si>
  <si>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</si>
  <si>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</si>
  <si>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</si>
  <si>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</si>
  <si>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</si>
  <si>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</si>
  <si>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</si>
  <si>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</si>
  <si>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</si>
  <si>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</si>
  <si>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</si>
  <si>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</si>
  <si>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</si>
  <si>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</si>
  <si>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</si>
  <si>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</si>
  <si>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</si>
  <si>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</si>
  <si>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</si>
  <si>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</si>
  <si>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</si>
  <si>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</si>
  <si>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</si>
  <si>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</si>
  <si>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</si>
  <si>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</si>
  <si>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</si>
  <si>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</si>
  <si>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</si>
  <si>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</si>
  <si>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</si>
  <si>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</si>
  <si>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</si>
  <si>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</si>
  <si>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</si>
  <si>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</si>
  <si>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</si>
  <si>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</si>
  <si>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</si>
  <si>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</si>
  <si>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</si>
  <si>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</si>
  <si>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</si>
  <si>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</si>
  <si>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</si>
  <si>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</si>
  <si>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</si>
  <si>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</si>
  <si>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</si>
  <si>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</si>
  <si>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</si>
  <si>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</si>
  <si>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</si>
  <si>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</si>
  <si>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</si>
  <si>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</si>
  <si>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</si>
  <si>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</si>
  <si>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</si>
  <si>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</si>
  <si>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</si>
  <si>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</si>
  <si>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</si>
  <si>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</si>
  <si>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</si>
  <si>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</si>
  <si>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</si>
  <si>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</si>
  <si>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</si>
  <si>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</si>
  <si>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</si>
  <si>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</si>
  <si>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</si>
  <si>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</si>
  <si>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</si>
  <si>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</si>
  <si>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</si>
  <si>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</si>
  <si>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</si>
  <si>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</si>
  <si>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</si>
  <si>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</si>
  <si>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</si>
  <si>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</si>
  <si>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</si>
  <si>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</si>
  <si>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</si>
  <si>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</si>
  <si>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</si>
  <si>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</si>
  <si>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</si>
  <si>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</si>
  <si>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</si>
  <si>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</si>
  <si>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</si>
  <si>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</si>
  <si>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</si>
  <si>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</si>
  <si>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</si>
  <si>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</si>
  <si>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</si>
  <si>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</si>
  <si>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</si>
  <si>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</si>
  <si>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</si>
  <si>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</si>
  <si>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</si>
  <si>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</si>
  <si>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</si>
  <si>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</si>
  <si>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</si>
  <si>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</si>
  <si>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</si>
  <si>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</si>
  <si>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</si>
  <si>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</si>
  <si>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</si>
  <si>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</si>
  <si>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</si>
  <si>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</si>
  <si>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</si>
  <si>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</si>
  <si>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</si>
  <si>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</si>
  <si>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</si>
  <si>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</si>
  <si>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</si>
  <si>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</si>
  <si>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</si>
  <si>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</si>
  <si>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</si>
  <si>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</si>
  <si>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</si>
  <si>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</si>
  <si>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</si>
  <si>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</si>
  <si>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</si>
  <si>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</si>
  <si>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</si>
  <si>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</si>
  <si>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</si>
  <si>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</si>
  <si>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</si>
  <si>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</si>
  <si>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</si>
  <si>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</si>
  <si>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</si>
  <si>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</si>
  <si>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</si>
  <si>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</si>
  <si>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</si>
  <si>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</si>
  <si>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</si>
  <si>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</si>
  <si>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</si>
  <si>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</si>
  <si>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</si>
  <si>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</si>
  <si>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</si>
  <si>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</si>
  <si>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</si>
  <si>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</si>
  <si>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</si>
  <si>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</si>
  <si>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</si>
  <si>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</si>
  <si>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</si>
  <si>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</si>
  <si>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</si>
  <si>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</si>
  <si>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</si>
  <si>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</si>
  <si>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</si>
  <si>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</si>
  <si>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</si>
  <si>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</si>
  <si>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</si>
  <si>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</si>
  <si>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</si>
  <si>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</si>
  <si>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</si>
  <si>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</si>
  <si>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</si>
  <si>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</si>
  <si>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</si>
  <si>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</si>
  <si>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</si>
  <si>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</si>
  <si>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</si>
  <si>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</si>
  <si>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</si>
  <si>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</si>
  <si>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</si>
  <si>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</si>
  <si>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</si>
  <si>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</si>
  <si>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</si>
  <si>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</si>
  <si>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</si>
  <si>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</si>
  <si>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</si>
  <si>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</si>
  <si>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</si>
  <si>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</si>
  <si>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</si>
  <si>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</si>
  <si>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</si>
  <si>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</si>
  <si>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</si>
  <si>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</si>
  <si>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</si>
  <si>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</si>
  <si>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</si>
  <si>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</si>
  <si>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</si>
  <si>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</si>
  <si>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</si>
  <si>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</si>
  <si>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</si>
  <si>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</si>
  <si>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</si>
  <si>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</si>
  <si>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</si>
  <si>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</si>
  <si>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</si>
  <si>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</si>
  <si>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</si>
  <si>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</si>
  <si>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</si>
  <si>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</si>
  <si>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</si>
  <si>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</si>
  <si>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</si>
  <si>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</si>
  <si>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</si>
  <si>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</si>
  <si>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</si>
  <si>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</si>
  <si>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</si>
  <si>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</si>
  <si>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</si>
  <si>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</si>
  <si>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</si>
  <si>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</si>
  <si>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</si>
  <si>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</si>
  <si>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</si>
  <si>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</si>
  <si>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</si>
  <si>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</si>
  <si>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</si>
  <si>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</si>
  <si>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</si>
  <si>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</si>
  <si>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</si>
  <si>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</si>
  <si>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</si>
  <si>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</si>
  <si>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</si>
  <si>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</si>
  <si>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</si>
  <si>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</si>
  <si>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</si>
  <si>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</si>
  <si>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</si>
  <si>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</si>
  <si>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</si>
  <si>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</si>
  <si>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</si>
  <si>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</si>
  <si>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</si>
  <si>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</si>
  <si>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</si>
  <si>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</si>
  <si>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</si>
  <si>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</si>
  <si>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</si>
  <si>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</si>
  <si>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</si>
  <si>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</si>
  <si>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</si>
  <si>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</si>
  <si>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</si>
  <si>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</si>
  <si>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</si>
  <si>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</si>
  <si>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</si>
  <si>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</si>
  <si>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</si>
  <si>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</si>
  <si>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</si>
  <si>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</si>
  <si>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</si>
  <si>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</si>
  <si>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</si>
  <si>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</si>
  <si>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</si>
  <si>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</si>
  <si>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</si>
  <si>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</si>
  <si>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</si>
  <si>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</si>
  <si>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</si>
  <si>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</si>
  <si>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</si>
  <si>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</si>
  <si>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</si>
  <si>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</si>
  <si>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</si>
  <si>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</si>
  <si>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</si>
  <si>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</si>
  <si>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</si>
  <si>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</si>
  <si>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</si>
  <si>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</si>
  <si>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</si>
  <si>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</si>
  <si>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</si>
  <si>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</si>
  <si>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</si>
  <si>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</si>
  <si>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</si>
  <si>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</si>
  <si>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</si>
  <si>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</si>
  <si>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</si>
  <si>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</si>
  <si>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</si>
  <si>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</si>
  <si>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</si>
  <si>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</si>
  <si>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</si>
  <si>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</si>
  <si>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</si>
  <si>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</si>
  <si>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</si>
  <si>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</si>
  <si>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</si>
  <si>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</si>
  <si>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</si>
  <si>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</si>
  <si>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</si>
  <si>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</si>
  <si>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</si>
  <si>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</si>
  <si>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</si>
  <si>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</si>
  <si>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</si>
  <si>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</si>
  <si>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</si>
  <si>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</si>
  <si>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</si>
  <si>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</si>
  <si>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</si>
  <si>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</si>
  <si>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</si>
  <si>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</si>
  <si>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</si>
  <si>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</si>
  <si>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</si>
  <si>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</si>
  <si>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</si>
  <si>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</si>
  <si>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</si>
  <si>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</si>
  <si>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</si>
  <si>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</si>
  <si>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</si>
  <si>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</si>
  <si>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</si>
  <si>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</si>
  <si>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</si>
  <si>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</si>
  <si>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</si>
  <si>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</si>
  <si>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</si>
  <si>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</si>
  <si>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</si>
  <si>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</si>
  <si>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</si>
  <si>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</si>
  <si>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</si>
  <si>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</si>
  <si>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</si>
  <si>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</si>
  <si>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</si>
  <si>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</si>
  <si>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</si>
  <si>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</si>
  <si>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</si>
  <si>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</si>
  <si>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</si>
  <si>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</si>
  <si>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</si>
  <si>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</si>
  <si>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</si>
  <si>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</si>
  <si>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</si>
  <si>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</si>
  <si>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</si>
  <si>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</si>
  <si>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</si>
  <si>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</si>
  <si>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</si>
  <si>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</si>
  <si>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</si>
  <si>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</si>
  <si>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</si>
  <si>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</si>
  <si>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</si>
  <si>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</si>
  <si>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</si>
  <si>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</si>
  <si>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</si>
  <si>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</si>
  <si>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</si>
  <si>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</si>
  <si>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</si>
  <si>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</si>
  <si>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</si>
  <si>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</si>
  <si>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</si>
  <si>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</si>
  <si>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</si>
  <si>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</si>
  <si>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</si>
  <si>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</si>
  <si>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</si>
  <si>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</si>
  <si>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</si>
  <si>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</si>
  <si>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</si>
  <si>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</si>
  <si>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</si>
  <si>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</si>
  <si>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</si>
  <si>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</si>
  <si>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</si>
  <si>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</si>
  <si>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</si>
  <si>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</si>
  <si>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</si>
  <si>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</si>
  <si>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</si>
  <si>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</si>
  <si>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</si>
  <si>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</si>
  <si>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</si>
  <si>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</si>
  <si>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</si>
  <si>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</si>
  <si>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</si>
  <si>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</si>
  <si>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</si>
  <si>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</si>
  <si>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</si>
  <si>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</si>
  <si>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</si>
  <si>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</si>
  <si>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</si>
  <si>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</si>
  <si>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</si>
  <si>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</si>
  <si>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</si>
  <si>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</si>
  <si>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</si>
  <si>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</si>
  <si>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</si>
  <si>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</si>
  <si>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</si>
  <si>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</si>
  <si>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</si>
  <si>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</si>
  <si>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</si>
  <si>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</si>
  <si>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</si>
  <si>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</si>
  <si>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</si>
  <si>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</si>
  <si>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</si>
  <si>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</si>
  <si>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</si>
  <si>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</si>
  <si>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</si>
  <si>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</si>
  <si>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</si>
  <si>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</si>
  <si>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</si>
  <si>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</si>
  <si>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</si>
  <si>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</si>
  <si>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</si>
  <si>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</si>
  <si>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</si>
  <si>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</si>
  <si>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</si>
  <si>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</si>
  <si>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</si>
  <si>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</si>
  <si>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</si>
  <si>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</si>
  <si>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</si>
  <si>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</si>
  <si>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</si>
  <si>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</si>
  <si>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</si>
  <si>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</si>
  <si>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</si>
  <si>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</si>
  <si>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</si>
  <si>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</si>
  <si>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</si>
  <si>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</si>
  <si>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</si>
  <si>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</si>
  <si>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</si>
  <si>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</si>
  <si>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</si>
  <si>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</si>
  <si>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</si>
  <si>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</si>
  <si>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</si>
  <si>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</si>
  <si>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</si>
  <si>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</si>
  <si>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</si>
  <si>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</si>
  <si>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</si>
  <si>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</si>
  <si>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</si>
  <si>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</si>
  <si>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</si>
  <si>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</si>
  <si>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</si>
  <si>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</si>
  <si>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</si>
  <si>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</si>
  <si>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</si>
  <si>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</si>
  <si>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</si>
  <si>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</si>
  <si>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</si>
  <si>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</si>
  <si>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</si>
  <si>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</si>
  <si>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</si>
  <si>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</si>
  <si>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</si>
  <si>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</si>
  <si>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</si>
  <si>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</si>
  <si>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</si>
  <si>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</si>
  <si>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</si>
  <si>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</si>
  <si>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</si>
  <si>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</si>
  <si>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</si>
  <si>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</si>
  <si>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</si>
  <si>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</si>
  <si>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</si>
  <si>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</si>
  <si>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</si>
  <si>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</si>
  <si>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</si>
  <si>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</si>
  <si>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</si>
  <si>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</si>
  <si>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</si>
  <si>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</si>
  <si>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</si>
  <si>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</si>
  <si>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</si>
  <si>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</si>
  <si>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</si>
  <si>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</si>
  <si>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</si>
  <si>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</si>
  <si>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</si>
  <si>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</si>
  <si>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</si>
  <si>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</si>
  <si>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</si>
  <si>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</si>
  <si>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</si>
  <si>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</si>
  <si>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</si>
  <si>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</si>
  <si>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</si>
  <si>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</si>
  <si>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</si>
  <si>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</si>
  <si>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</si>
  <si>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</si>
  <si>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</si>
  <si>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</si>
  <si>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</si>
  <si>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</si>
  <si>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</si>
  <si>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</si>
  <si>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</si>
  <si>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</si>
  <si>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</si>
  <si>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</si>
  <si>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</si>
  <si>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</si>
  <si>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</si>
  <si>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</si>
  <si>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</si>
  <si>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</si>
  <si>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</si>
  <si>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</si>
  <si>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</si>
  <si>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</si>
  <si>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</si>
  <si>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</si>
  <si>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</si>
  <si>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</si>
  <si>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</si>
  <si>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</si>
  <si>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</si>
  <si>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</si>
  <si>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</si>
  <si>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</si>
  <si>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</si>
  <si>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</si>
  <si>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</si>
  <si>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</si>
  <si>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</si>
  <si>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</si>
  <si>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</si>
  <si>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</si>
  <si>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</si>
  <si>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</si>
  <si>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</si>
  <si>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</si>
  <si>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</si>
  <si>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</si>
  <si>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</si>
  <si>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</si>
  <si>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</si>
  <si>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</si>
  <si>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</si>
  <si>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</si>
  <si>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</si>
  <si>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</si>
  <si>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</si>
  <si>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</si>
  <si>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</si>
  <si>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</si>
  <si>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</si>
  <si>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</si>
  <si>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</si>
  <si>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</si>
  <si>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</si>
  <si>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</si>
  <si>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</si>
  <si>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</si>
  <si>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</si>
  <si>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</si>
  <si>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</si>
  <si>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</si>
  <si>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</si>
  <si>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</si>
  <si>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</si>
  <si>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</si>
  <si>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</si>
  <si>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</si>
  <si>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</si>
  <si>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</si>
  <si>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</si>
  <si>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</si>
  <si>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</si>
  <si>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</si>
  <si>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</si>
  <si>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</si>
  <si>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</si>
  <si>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</si>
  <si>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</si>
  <si>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</si>
  <si>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</si>
  <si>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</si>
  <si>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</si>
  <si>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</si>
  <si>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</si>
  <si>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</si>
  <si>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</si>
  <si>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</si>
  <si>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</si>
  <si>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</si>
  <si>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</si>
  <si>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</si>
  <si>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</si>
  <si>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</si>
  <si>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</si>
  <si>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</si>
  <si>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</si>
  <si>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</si>
  <si>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</si>
  <si>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</si>
  <si>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</si>
  <si>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</si>
  <si>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</si>
  <si>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</si>
  <si>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</si>
  <si>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</si>
  <si>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</si>
  <si>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</si>
  <si>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</si>
  <si>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</si>
  <si>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</si>
  <si>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</si>
  <si>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</si>
  <si>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</si>
  <si>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</si>
  <si>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</si>
  <si>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</si>
  <si>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</si>
  <si>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</si>
  <si>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</si>
  <si>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</si>
  <si>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</si>
  <si>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</si>
  <si>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</si>
  <si>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</si>
  <si>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</si>
  <si>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</si>
  <si>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</si>
  <si>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</si>
  <si>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</si>
  <si>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</si>
  <si>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</si>
  <si>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</si>
  <si>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</si>
  <si>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</si>
  <si>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</si>
  <si>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</si>
  <si>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</si>
  <si>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</si>
  <si>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</si>
  <si>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</si>
  <si>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</si>
  <si>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</si>
  <si>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</si>
  <si>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</si>
  <si>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</si>
  <si>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</si>
  <si>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</si>
  <si>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</si>
  <si>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</si>
  <si>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</si>
  <si>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</si>
  <si>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</si>
  <si>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</si>
  <si>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</si>
  <si>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</si>
  <si>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</si>
  <si>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</si>
  <si>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</si>
  <si>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</si>
  <si>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</si>
  <si>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</si>
  <si>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</si>
  <si>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</si>
  <si>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</si>
  <si>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</si>
  <si>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</si>
  <si>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</si>
  <si>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</si>
  <si>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</si>
  <si>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</si>
  <si>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</si>
  <si>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</si>
  <si>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</si>
  <si>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</si>
  <si>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</si>
  <si>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</si>
  <si>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</si>
  <si>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</si>
  <si>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</si>
  <si>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</si>
  <si>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</si>
  <si>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</si>
  <si>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</si>
  <si>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</si>
  <si>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</si>
  <si>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</si>
  <si>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</si>
  <si>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</si>
  <si>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</si>
  <si>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</si>
  <si>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</si>
  <si>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</si>
  <si>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</si>
  <si>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</si>
  <si>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</si>
  <si>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</si>
  <si>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</si>
  <si>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</si>
  <si>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</si>
  <si>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</si>
  <si>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</si>
  <si>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</si>
  <si>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</si>
  <si>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</si>
  <si>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</si>
  <si>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</si>
  <si>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</si>
  <si>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</si>
  <si>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</si>
  <si>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</si>
  <si>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</si>
  <si>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</si>
  <si>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</si>
  <si>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</si>
  <si>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</si>
  <si>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</si>
  <si>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</si>
  <si>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</si>
  <si>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</si>
  <si>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</si>
  <si>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</si>
  <si>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</si>
  <si>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</si>
  <si>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</si>
  <si>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</si>
  <si>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</si>
  <si>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</si>
  <si>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</si>
  <si>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</si>
  <si>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</si>
  <si>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</si>
  <si>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</si>
  <si>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</si>
  <si>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</si>
  <si>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</si>
  <si>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</si>
  <si>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</si>
  <si>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</si>
  <si>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</si>
  <si>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</si>
  <si>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</si>
  <si>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</si>
  <si>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</si>
  <si>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</si>
  <si>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</si>
  <si>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</si>
  <si>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</si>
  <si>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</si>
  <si>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</si>
  <si>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</si>
  <si>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</si>
  <si>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</si>
  <si>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</si>
  <si>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</si>
  <si>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</si>
  <si>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</si>
  <si>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</si>
  <si>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</si>
  <si>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</si>
  <si>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</si>
  <si>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</si>
  <si>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</si>
  <si>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</si>
  <si>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</si>
  <si>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</si>
  <si>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</si>
  <si>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</si>
  <si>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</si>
  <si>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</si>
  <si>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</si>
  <si>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</si>
  <si>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</si>
  <si>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</si>
  <si>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</si>
  <si>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</si>
  <si>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</si>
  <si>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</si>
  <si>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</si>
  <si>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</si>
  <si>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</si>
  <si>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</si>
  <si>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</si>
  <si>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</si>
  <si>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</si>
  <si>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</si>
  <si>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</si>
  <si>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</si>
  <si>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</si>
  <si>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</si>
  <si>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</si>
  <si>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</si>
  <si>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</si>
  <si>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</si>
  <si>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</si>
  <si>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</si>
  <si>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</si>
  <si>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</si>
  <si>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</si>
  <si>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</si>
  <si>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</si>
  <si>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</si>
  <si>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</si>
  <si>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</si>
  <si>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</si>
  <si>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</si>
  <si>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</si>
  <si>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</si>
  <si>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</si>
  <si>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</si>
  <si>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</si>
  <si>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</si>
  <si>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</si>
  <si>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</si>
  <si>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</si>
  <si>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</si>
  <si>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</si>
  <si>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</si>
  <si>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</si>
  <si>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</si>
  <si>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</si>
  <si>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</si>
  <si>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</si>
  <si>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</si>
  <si>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</si>
  <si>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</si>
  <si>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</si>
  <si>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</si>
  <si>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</si>
  <si>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</si>
  <si>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</si>
  <si>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</si>
  <si>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</si>
  <si>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</si>
  <si>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</si>
  <si>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</si>
  <si>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</si>
  <si>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</si>
  <si>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</si>
  <si>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</si>
  <si>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</si>
  <si>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</si>
  <si>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</si>
  <si>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</si>
  <si>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</si>
  <si>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</si>
  <si>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</si>
  <si>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</si>
  <si>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</si>
  <si>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</si>
  <si>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</si>
  <si>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</si>
  <si>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</si>
  <si>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</si>
  <si>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</si>
  <si>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</si>
  <si>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</si>
  <si>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</si>
  <si>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</si>
  <si>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</si>
  <si>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</si>
  <si>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</si>
  <si>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</si>
  <si>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</si>
  <si>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</si>
  <si>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</si>
  <si>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</si>
  <si>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</si>
  <si>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</si>
  <si>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</si>
  <si>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</si>
  <si>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</si>
  <si>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</si>
  <si>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</si>
  <si>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</si>
  <si>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</si>
  <si>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</si>
  <si>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</si>
  <si>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</si>
  <si>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</si>
  <si>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</si>
  <si>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</si>
  <si>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</si>
  <si>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</si>
  <si>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</si>
  <si>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</si>
  <si>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</si>
  <si>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</si>
  <si>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</si>
  <si>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</si>
  <si>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</si>
  <si>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</si>
  <si>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</si>
  <si>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</si>
  <si>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</si>
  <si>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</si>
  <si>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</si>
  <si>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</si>
  <si>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</si>
  <si>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</si>
  <si>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</si>
  <si>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</si>
  <si>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</si>
  <si>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</si>
  <si>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</si>
  <si>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</si>
  <si>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</si>
  <si>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</si>
  <si>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</si>
  <si>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</si>
  <si>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</si>
  <si>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</si>
  <si>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</si>
  <si>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</si>
  <si>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</si>
  <si>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</si>
  <si>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</si>
  <si>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</si>
  <si>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</si>
  <si>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</si>
  <si>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</si>
  <si>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</si>
  <si>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</si>
  <si>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</si>
  <si>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</si>
  <si>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</si>
  <si>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</si>
  <si>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</si>
  <si>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</si>
  <si>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</si>
  <si>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</si>
  <si>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</si>
  <si>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</si>
  <si>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</si>
  <si>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</si>
  <si>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</si>
  <si>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</si>
  <si>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</si>
  <si>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</si>
  <si>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</si>
  <si>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</si>
  <si>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</si>
  <si>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</si>
  <si>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</si>
  <si>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</si>
  <si>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</si>
  <si>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</si>
  <si>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</si>
  <si>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</si>
  <si>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</si>
  <si>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</si>
  <si>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</si>
  <si>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</si>
  <si>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</si>
  <si>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</si>
  <si>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</si>
  <si>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</si>
  <si>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</si>
  <si>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</si>
  <si>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</si>
  <si>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</si>
  <si>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</si>
  <si>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</si>
  <si>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</si>
  <si>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</si>
  <si>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</si>
  <si>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</si>
  <si>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</si>
  <si>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</si>
  <si>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</si>
  <si>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</si>
  <si>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</si>
  <si>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</si>
  <si>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</si>
  <si>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</si>
  <si>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</si>
  <si>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</si>
  <si>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</si>
  <si>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</si>
  <si>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</si>
  <si>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</si>
  <si>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</si>
  <si>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</si>
  <si>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</si>
  <si>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</si>
  <si>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</si>
  <si>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</si>
  <si>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</si>
  <si>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</si>
  <si>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</si>
  <si>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</si>
  <si>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</si>
  <si>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</si>
  <si>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</si>
  <si>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</si>
  <si>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</si>
  <si>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</si>
  <si>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</si>
  <si>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</si>
  <si>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</si>
  <si>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</si>
  <si>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</si>
  <si>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</si>
  <si>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</si>
  <si>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</si>
  <si>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</si>
  <si>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</si>
  <si>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</si>
  <si>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</si>
  <si>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</si>
  <si>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</si>
  <si>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</si>
  <si>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</si>
  <si>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</si>
  <si>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</si>
  <si>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</si>
  <si>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</si>
  <si>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</si>
  <si>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</si>
  <si>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</si>
  <si>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</si>
  <si>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</si>
  <si>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</si>
  <si>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</si>
  <si>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</si>
  <si>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</si>
  <si>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</si>
  <si>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</si>
  <si>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</si>
  <si>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</si>
  <si>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</si>
  <si>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</si>
  <si>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</si>
  <si>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</si>
  <si>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</si>
  <si>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</si>
  <si>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</si>
  <si>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</si>
  <si>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</si>
  <si>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</si>
  <si>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</si>
  <si>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</si>
  <si>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</si>
  <si>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</si>
  <si>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</si>
  <si>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</si>
  <si>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</si>
  <si>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</si>
  <si>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</si>
  <si>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</si>
  <si>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</si>
  <si>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</si>
  <si>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</si>
  <si>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</si>
  <si>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</si>
  <si>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</si>
  <si>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</si>
  <si>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</si>
  <si>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</si>
  <si>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</si>
  <si>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</si>
  <si>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</si>
  <si>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</si>
  <si>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</si>
  <si>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</si>
  <si>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</si>
  <si>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</si>
  <si>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</si>
  <si>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</si>
  <si>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</si>
  <si>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</si>
  <si>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</si>
  <si>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</si>
  <si>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</si>
  <si>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</si>
  <si>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</si>
  <si>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</si>
  <si>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</si>
  <si>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</si>
  <si>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</si>
  <si>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</si>
  <si>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</si>
  <si>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</si>
  <si>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</si>
  <si>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</si>
  <si>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</si>
  <si>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</si>
  <si>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</si>
  <si>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</si>
  <si>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</si>
  <si>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</si>
  <si>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</si>
  <si>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</si>
  <si>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</si>
  <si>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</si>
  <si>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</si>
  <si>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</si>
  <si>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</si>
  <si>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</si>
  <si>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</si>
  <si>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</si>
  <si>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</si>
  <si>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</si>
  <si>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</si>
  <si>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</si>
  <si>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</si>
  <si>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</si>
  <si>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</si>
  <si>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</si>
  <si>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</si>
  <si>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</si>
  <si>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</si>
  <si>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</si>
  <si>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</si>
  <si>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</si>
  <si>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</si>
  <si>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</si>
  <si>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</si>
  <si>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</si>
  <si>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</si>
  <si>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</si>
  <si>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</si>
  <si>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</si>
  <si>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</si>
  <si>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</si>
  <si>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</si>
  <si>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</si>
  <si>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</si>
  <si>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</si>
  <si>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</si>
  <si>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</si>
  <si>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</si>
  <si>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</si>
  <si>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</si>
  <si>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</si>
  <si>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</si>
  <si>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</si>
  <si>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</si>
  <si>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</si>
  <si>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</si>
  <si>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</si>
  <si>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</si>
  <si>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</si>
  <si>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</si>
  <si>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</si>
  <si>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</si>
  <si>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</si>
  <si>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</si>
  <si>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</si>
  <si>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</si>
  <si>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</si>
  <si>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</si>
  <si>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</si>
  <si>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</si>
  <si>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</si>
  <si>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</si>
  <si>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</si>
  <si>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</si>
  <si>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</si>
  <si>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</si>
  <si>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</si>
  <si>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</si>
  <si>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</si>
  <si>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</si>
  <si>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</si>
  <si>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</si>
  <si>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</si>
  <si>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</si>
  <si>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</si>
  <si>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</si>
  <si>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</si>
  <si>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</si>
  <si>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</si>
  <si>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</si>
  <si>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</si>
  <si>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</si>
  <si>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</si>
  <si>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</si>
  <si>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</si>
  <si>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</si>
  <si>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</si>
  <si>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</si>
  <si>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</si>
  <si>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</si>
  <si>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</si>
  <si>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</si>
  <si>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</si>
  <si>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</si>
  <si>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</si>
  <si>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</si>
  <si>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</si>
  <si>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</si>
  <si>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</si>
  <si>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</si>
  <si>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</si>
  <si>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</si>
  <si>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</si>
  <si>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</si>
  <si>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</si>
  <si>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</si>
  <si>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</si>
  <si>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</si>
  <si>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</si>
  <si>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</si>
  <si>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</si>
  <si>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</si>
  <si>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</si>
  <si>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</si>
  <si>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</si>
  <si>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</si>
  <si>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</si>
  <si>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</si>
  <si>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</si>
  <si>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</si>
  <si>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</si>
  <si>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</si>
  <si>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</si>
  <si>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</si>
  <si>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</si>
  <si>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</si>
  <si>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</si>
  <si>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</si>
  <si>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</si>
  <si>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</si>
  <si>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</si>
  <si>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</si>
  <si>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</si>
  <si>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</si>
  <si>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</si>
  <si>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</si>
  <si>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</si>
  <si>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</si>
  <si>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</si>
  <si>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</si>
  <si>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</si>
  <si>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</si>
  <si>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</si>
  <si>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</si>
  <si>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</si>
  <si>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</si>
  <si>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</si>
  <si>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</si>
  <si>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</si>
  <si>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</si>
  <si>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</si>
  <si>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</si>
  <si>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</si>
  <si>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</si>
  <si>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</si>
  <si>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</si>
  <si>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</si>
  <si>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</si>
  <si>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</si>
  <si>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</si>
  <si>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</si>
  <si>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</si>
  <si>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</si>
  <si>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</si>
  <si>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</si>
  <si>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</si>
  <si>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</si>
  <si>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</si>
  <si>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</si>
  <si>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</si>
  <si>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</si>
  <si>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</si>
  <si>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</si>
  <si>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</si>
  <si>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</si>
  <si>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</si>
  <si>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</si>
  <si>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</si>
  <si>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</si>
  <si>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</si>
  <si>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</si>
  <si>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</si>
  <si>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</si>
  <si>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</si>
  <si>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</si>
  <si>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</si>
  <si>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</si>
  <si>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</si>
  <si>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</si>
  <si>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</si>
  <si>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</si>
  <si>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</si>
  <si>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</si>
  <si>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</si>
  <si>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</si>
  <si>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</si>
  <si>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</si>
  <si>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</si>
  <si>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</si>
  <si>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</si>
  <si>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</si>
  <si>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</si>
  <si>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</si>
  <si>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</si>
  <si>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</si>
  <si>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</si>
  <si>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</si>
  <si>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</si>
  <si>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</si>
  <si>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</si>
  <si>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</si>
  <si>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</si>
  <si>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</si>
  <si>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</si>
  <si>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</si>
  <si>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</si>
  <si>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</si>
  <si>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</si>
  <si>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</si>
  <si>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</si>
  <si>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</si>
  <si>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</si>
  <si>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</si>
  <si>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</si>
  <si>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</si>
  <si>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</si>
  <si>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</si>
  <si>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</si>
  <si>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</si>
  <si>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</si>
  <si>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</si>
  <si>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</si>
  <si>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</si>
  <si>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</si>
  <si>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</si>
  <si>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</si>
  <si>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</si>
  <si>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</si>
  <si>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</si>
  <si>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</si>
  <si>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</si>
  <si>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</si>
  <si>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</si>
  <si>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</si>
  <si>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</si>
  <si>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</si>
  <si>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</si>
  <si>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</si>
  <si>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</si>
  <si>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</si>
  <si>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</si>
  <si>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</si>
  <si>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</si>
  <si>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</si>
  <si>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</si>
  <si>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</si>
  <si>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</si>
  <si>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</si>
  <si>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</si>
  <si>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</si>
  <si>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</si>
  <si>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</si>
  <si>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</si>
  <si>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</si>
  <si>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</si>
  <si>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</si>
  <si>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</si>
  <si>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</si>
  <si>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</si>
  <si>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</si>
  <si>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</si>
  <si>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</si>
  <si>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</si>
  <si>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</si>
  <si>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</si>
  <si>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</si>
  <si>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</si>
  <si>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</si>
  <si>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</si>
  <si>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</si>
  <si>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</si>
  <si>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</si>
  <si>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</si>
  <si>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</si>
  <si>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</si>
  <si>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</si>
  <si>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</si>
  <si>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</si>
  <si>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</si>
  <si>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</si>
  <si>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</si>
  <si>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</si>
  <si>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</si>
  <si>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</si>
  <si>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</si>
  <si>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</si>
  <si>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</si>
  <si>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</si>
  <si>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</si>
  <si>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</si>
  <si>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</si>
  <si>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</si>
  <si>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</si>
  <si>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</si>
  <si>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</si>
  <si>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</si>
  <si>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</si>
  <si>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</si>
  <si>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</si>
  <si>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</si>
  <si>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</si>
  <si>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</si>
  <si>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</si>
  <si>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</si>
  <si>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</si>
  <si>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</si>
  <si>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</si>
  <si>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</si>
  <si>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</si>
  <si>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</si>
  <si>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</si>
  <si>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</si>
  <si>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</si>
  <si>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</si>
  <si>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</si>
  <si>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</si>
  <si>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</si>
  <si>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</si>
  <si>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</si>
  <si>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</si>
  <si>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</si>
  <si>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</si>
  <si>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</si>
  <si>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</si>
  <si>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</si>
  <si>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</si>
  <si>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</si>
  <si>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</si>
  <si>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</si>
  <si>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</si>
  <si>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</si>
  <si>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</si>
  <si>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</si>
  <si>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</si>
  <si>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</si>
  <si>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</si>
  <si>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</si>
  <si>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</si>
  <si>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</si>
  <si>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</si>
  <si>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</si>
  <si>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</si>
  <si>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</si>
  <si>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</si>
  <si>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</si>
  <si>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</si>
  <si>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</si>
  <si>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</si>
  <si>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</si>
  <si>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</si>
  <si>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</si>
  <si>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</si>
  <si>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</si>
  <si>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</si>
  <si>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</si>
  <si>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</si>
  <si>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</si>
  <si>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</si>
  <si>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</si>
  <si>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</si>
  <si>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</si>
  <si>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</si>
  <si>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</si>
  <si>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</si>
  <si>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</si>
  <si>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</si>
  <si>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</si>
  <si>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</si>
  <si>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</si>
  <si>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</si>
  <si>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</si>
  <si>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</si>
  <si>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</si>
  <si>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</si>
  <si>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</si>
  <si>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</si>
  <si>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</si>
  <si>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</si>
  <si>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</si>
  <si>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</si>
  <si>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</si>
  <si>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</si>
  <si>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</si>
  <si>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</si>
  <si>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</si>
  <si>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</si>
  <si>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</si>
  <si>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</si>
  <si>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</si>
  <si>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</si>
  <si>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</si>
  <si>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</si>
  <si>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</si>
  <si>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</si>
  <si>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</si>
  <si>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</si>
  <si>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</si>
  <si>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</si>
  <si>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</si>
  <si>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</si>
  <si>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</si>
  <si>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</si>
  <si>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</si>
  <si>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</si>
  <si>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</si>
  <si>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</si>
  <si>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</si>
  <si>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</si>
  <si>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</si>
  <si>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</si>
  <si>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</si>
  <si>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</si>
  <si>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</si>
  <si>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</si>
  <si>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</si>
  <si>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</si>
  <si>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</si>
  <si>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</si>
  <si>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</si>
  <si>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</si>
  <si>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</si>
  <si>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</si>
  <si>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</si>
  <si>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</si>
  <si>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</si>
  <si>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</si>
  <si>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</si>
  <si>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</si>
  <si>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</si>
  <si>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</si>
  <si>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</si>
  <si>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</si>
  <si>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</si>
  <si>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</si>
  <si>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</si>
  <si>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</si>
  <si>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</si>
  <si>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</si>
  <si>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</si>
  <si>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</si>
  <si>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</si>
  <si>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</si>
  <si>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</si>
  <si>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</si>
  <si>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</si>
  <si>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</si>
  <si>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</si>
  <si>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</si>
  <si>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</si>
  <si>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</si>
  <si>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</si>
  <si>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</si>
  <si>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</si>
  <si>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</si>
  <si>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</si>
  <si>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</si>
  <si>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</si>
  <si>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</si>
  <si>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</si>
  <si>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</si>
  <si>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</si>
  <si>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</si>
  <si>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</si>
  <si>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</si>
  <si>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</si>
  <si>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</si>
  <si>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</si>
  <si>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</si>
  <si>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</si>
  <si>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</si>
  <si>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</si>
  <si>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</si>
  <si>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</si>
  <si>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</si>
  <si>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</si>
  <si>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</si>
  <si>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</si>
  <si>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</si>
  <si>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</si>
  <si>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</si>
  <si>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</si>
  <si>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</si>
  <si>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</si>
  <si>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</si>
  <si>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</si>
  <si>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</si>
  <si>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</si>
  <si>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</si>
  <si>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</si>
  <si>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</si>
  <si>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</si>
  <si>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</si>
  <si>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</si>
  <si>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</si>
  <si>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</si>
  <si>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</si>
  <si>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</si>
  <si>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</si>
  <si>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</si>
  <si>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</si>
  <si>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</si>
  <si>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</si>
  <si>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</si>
  <si>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</si>
  <si>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</si>
  <si>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</si>
  <si>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</si>
  <si>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</si>
  <si>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</si>
  <si>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</si>
  <si>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</si>
  <si>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</si>
  <si>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</si>
  <si>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</si>
  <si>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</si>
  <si>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</si>
  <si>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</si>
  <si>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</si>
  <si>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</si>
  <si>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</si>
  <si>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</si>
  <si>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</si>
  <si>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</si>
  <si>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</si>
  <si>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</si>
  <si>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</si>
  <si>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</si>
  <si>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</si>
  <si>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</si>
  <si>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</si>
  <si>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</si>
  <si>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</si>
  <si>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</si>
  <si>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</si>
  <si>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</si>
  <si>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</si>
  <si>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</si>
  <si>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</si>
  <si>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</si>
  <si>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</si>
  <si>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</si>
  <si>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</si>
  <si>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</si>
  <si>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</si>
  <si>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</si>
  <si>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</si>
  <si>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</si>
  <si>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</si>
  <si>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</si>
  <si>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</si>
  <si>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</si>
  <si>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</si>
  <si>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</si>
  <si>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</si>
  <si>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</si>
  <si>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</si>
  <si>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</si>
  <si>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</si>
  <si>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</si>
  <si>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</si>
  <si>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</si>
  <si>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</si>
  <si>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</si>
  <si>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</si>
  <si>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</si>
  <si>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</si>
  <si>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</si>
  <si>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</si>
  <si>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</si>
  <si>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</si>
  <si>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</si>
  <si>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</si>
  <si>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</si>
  <si>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</si>
  <si>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</si>
  <si>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</si>
  <si>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</si>
  <si>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</si>
  <si>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</si>
  <si>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</si>
  <si>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</si>
  <si>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</si>
  <si>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</si>
  <si>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</si>
  <si>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</si>
  <si>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</si>
  <si>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</si>
  <si>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</si>
  <si>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</si>
  <si>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</si>
  <si>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</si>
  <si>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</si>
  <si>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</si>
  <si>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</si>
  <si>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</si>
  <si>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</si>
  <si>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</si>
  <si>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</si>
  <si>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</si>
  <si>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</si>
  <si>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</si>
  <si>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</si>
  <si>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</si>
  <si>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</si>
  <si>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</si>
  <si>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</si>
  <si>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</si>
  <si>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</si>
  <si>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</si>
  <si>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</si>
  <si>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</si>
  <si>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</si>
  <si>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</si>
  <si>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</si>
  <si>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</si>
  <si>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</si>
  <si>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</si>
  <si>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</si>
  <si>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</si>
  <si>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</si>
  <si>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</si>
  <si>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</si>
  <si>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</si>
  <si>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</si>
  <si>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</si>
  <si>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</si>
  <si>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</si>
  <si>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</si>
  <si>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</si>
  <si>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</si>
  <si>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</si>
  <si>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</si>
  <si>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</si>
  <si>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</si>
  <si>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</si>
  <si>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</si>
  <si>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</si>
  <si>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</si>
  <si>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</si>
  <si>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</si>
  <si>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</si>
  <si>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</si>
  <si>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</si>
  <si>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</si>
  <si>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</si>
  <si>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</si>
  <si>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</si>
  <si>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</si>
  <si>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</si>
  <si>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</si>
  <si>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</si>
  <si>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</si>
  <si>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</si>
  <si>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</si>
  <si>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</si>
  <si>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</si>
  <si>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</si>
  <si>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</si>
  <si>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</si>
  <si>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</si>
  <si>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</si>
  <si>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</si>
  <si>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</si>
  <si>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</si>
  <si>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</si>
  <si>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</si>
  <si>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</si>
  <si>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</si>
  <si>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</si>
  <si>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</si>
  <si>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</si>
  <si>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</si>
  <si>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</si>
  <si>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</si>
  <si>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</si>
  <si>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</si>
  <si>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</si>
  <si>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</si>
  <si>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</si>
  <si>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</si>
  <si>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</si>
  <si>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</si>
  <si>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</si>
  <si>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</si>
  <si>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</si>
  <si>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</si>
  <si>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</si>
  <si>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</si>
  <si>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</si>
  <si>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</si>
  <si>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</si>
  <si>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</si>
  <si>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</si>
  <si>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</si>
  <si>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</si>
  <si>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</si>
  <si>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</si>
  <si>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</si>
  <si>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</si>
  <si>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</si>
  <si>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</si>
  <si>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</si>
  <si>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</si>
  <si>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</si>
  <si>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</si>
  <si>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</si>
  <si>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</si>
  <si>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</si>
  <si>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</si>
  <si>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</si>
  <si>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</si>
  <si>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</si>
  <si>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</si>
  <si>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</si>
  <si>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</si>
  <si>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</si>
  <si>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</si>
  <si>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</si>
  <si>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</si>
  <si>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</si>
  <si>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</si>
  <si>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</si>
  <si>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</si>
  <si>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</si>
  <si>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</si>
  <si>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</si>
  <si>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</si>
  <si>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</si>
  <si>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</si>
  <si>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</si>
  <si>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</si>
  <si>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</si>
  <si>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</si>
  <si>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</si>
  <si>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</si>
  <si>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</si>
  <si>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</si>
  <si>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</si>
  <si>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</si>
  <si>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</si>
  <si>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</si>
  <si>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</si>
  <si>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</si>
  <si>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</si>
  <si>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</si>
  <si>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</si>
  <si>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</si>
  <si>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</si>
  <si>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</si>
  <si>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</si>
  <si>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</si>
  <si>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</si>
  <si>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</si>
  <si>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</si>
  <si>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</si>
  <si>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</si>
  <si>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</si>
  <si>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</si>
  <si>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</si>
  <si>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</si>
  <si>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</si>
  <si>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</si>
  <si>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</si>
  <si>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</si>
  <si>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</si>
  <si>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</si>
  <si>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</si>
  <si>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</si>
  <si>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</si>
  <si>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</si>
  <si>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</si>
  <si>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</si>
  <si>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</si>
  <si>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</si>
  <si>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</si>
  <si>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</si>
  <si>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</si>
  <si>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</si>
  <si>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</si>
  <si>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</si>
  <si>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</si>
  <si>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</si>
  <si>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</si>
  <si>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</si>
  <si>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</si>
  <si>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</si>
  <si>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</si>
  <si>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</si>
  <si>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</si>
  <si>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</si>
  <si>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</si>
  <si>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</si>
  <si>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</si>
  <si>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</si>
  <si>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</si>
  <si>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</si>
  <si>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</si>
  <si>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</si>
  <si>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</si>
  <si>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</si>
  <si>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</si>
  <si>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</si>
  <si>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</si>
  <si>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</si>
  <si>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</si>
  <si>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</si>
  <si>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</si>
  <si>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</si>
  <si>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</si>
  <si>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</si>
  <si>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</si>
  <si>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</si>
  <si>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</si>
  <si>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</si>
  <si>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</si>
  <si>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</si>
  <si>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</si>
  <si>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</si>
  <si>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</si>
  <si>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</si>
  <si>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</si>
  <si>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</si>
  <si>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</si>
  <si>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</si>
  <si>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</si>
  <si>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</si>
  <si>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</si>
  <si>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</si>
  <si>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</si>
  <si>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</si>
  <si>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</si>
  <si>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</si>
  <si>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</si>
  <si>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</si>
  <si>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</si>
  <si>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</si>
  <si>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</si>
  <si>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</si>
  <si>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</si>
  <si>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</si>
  <si>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</si>
  <si>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</si>
  <si>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</si>
  <si>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</si>
  <si>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</si>
  <si>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</si>
  <si>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</si>
  <si>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</si>
  <si>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</si>
  <si>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</si>
  <si>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</si>
  <si>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</si>
  <si>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</si>
  <si>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</si>
  <si>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</si>
  <si>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</si>
  <si>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</si>
  <si>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</si>
  <si>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</si>
  <si>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</si>
  <si>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</si>
  <si>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</si>
  <si>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</si>
  <si>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</si>
  <si>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</si>
  <si>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</si>
  <si>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</si>
  <si>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</si>
  <si>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</si>
  <si>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</si>
  <si>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</si>
  <si>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</si>
  <si>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</si>
  <si>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</si>
  <si>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</si>
  <si>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</si>
  <si>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</si>
  <si>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</si>
  <si>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</si>
  <si>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</si>
  <si>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</si>
  <si>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</si>
  <si>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</si>
  <si>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</si>
  <si>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</si>
  <si>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</si>
  <si>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</si>
  <si>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</si>
  <si>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</si>
  <si>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</si>
  <si>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</si>
  <si>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</si>
  <si>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</si>
  <si>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</si>
  <si>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</si>
  <si>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</si>
  <si>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</si>
  <si>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</si>
  <si>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</si>
  <si>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</si>
  <si>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</si>
  <si>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</si>
  <si>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</si>
  <si>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</si>
  <si>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</si>
  <si>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</si>
  <si>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</si>
  <si>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</si>
  <si>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</si>
  <si>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</si>
  <si>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</si>
  <si>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</si>
  <si>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</si>
  <si>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</si>
  <si>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</si>
  <si>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</si>
  <si>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</si>
  <si>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</si>
  <si>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</si>
  <si>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</si>
  <si>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</si>
  <si>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</si>
  <si>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</si>
  <si>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</si>
  <si>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</si>
  <si>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</si>
  <si>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</si>
  <si>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</si>
  <si>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</si>
  <si>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</si>
  <si>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</si>
  <si>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</si>
  <si>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</si>
  <si>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</si>
  <si>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</si>
  <si>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</si>
  <si>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</si>
  <si>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</si>
  <si>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</si>
  <si>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</si>
  <si>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</si>
  <si>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</si>
  <si>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</si>
  <si>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</si>
  <si>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</si>
  <si>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</si>
  <si>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</si>
  <si>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</si>
  <si>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</si>
  <si>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</si>
  <si>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</si>
  <si>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</si>
  <si>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</si>
  <si>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</si>
  <si>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</si>
  <si>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</si>
  <si>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</si>
  <si>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</si>
  <si>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</si>
  <si>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</si>
  <si>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</si>
  <si>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</si>
  <si>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</si>
  <si>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</si>
  <si>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</si>
  <si>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</si>
  <si>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</si>
  <si>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</si>
  <si>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</si>
  <si>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</si>
  <si>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</si>
  <si>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</si>
  <si>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</si>
  <si>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</si>
  <si>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</si>
  <si>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</si>
  <si>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</si>
  <si>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</si>
  <si>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</si>
  <si>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</si>
  <si>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</si>
  <si>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</si>
  <si>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</si>
  <si>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</si>
  <si>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</si>
  <si>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</si>
  <si>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</si>
  <si>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</si>
  <si>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</si>
  <si>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</si>
  <si>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</si>
  <si>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</si>
  <si>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</si>
  <si>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</si>
  <si>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</si>
  <si>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</si>
  <si>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</si>
  <si>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</si>
  <si>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</si>
  <si>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</si>
  <si>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</si>
  <si>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</si>
  <si>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</si>
  <si>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</si>
  <si>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</si>
  <si>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</si>
  <si>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</si>
  <si>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</si>
  <si>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</si>
  <si>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</si>
  <si>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</si>
  <si>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</si>
  <si>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</si>
  <si>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</si>
  <si>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</si>
  <si>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</si>
  <si>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</si>
  <si>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</si>
  <si>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</si>
  <si>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</si>
  <si>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</si>
  <si>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</si>
  <si>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</si>
  <si>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</si>
  <si>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</si>
  <si>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</si>
  <si>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</si>
  <si>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</si>
  <si>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</si>
  <si>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</si>
  <si>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</si>
  <si>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</si>
  <si>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</si>
  <si>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</si>
  <si>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</si>
  <si>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</si>
  <si>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</si>
  <si>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</si>
  <si>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</si>
  <si>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</si>
  <si>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</si>
  <si>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</si>
  <si>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</si>
  <si>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</si>
  <si>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</si>
  <si>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</si>
  <si>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</si>
  <si>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</si>
  <si>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</si>
  <si>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</si>
  <si>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</si>
  <si>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</si>
  <si>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</si>
  <si>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</si>
  <si>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</si>
  <si>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</si>
  <si>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</si>
  <si>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</si>
  <si>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</si>
  <si>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</si>
  <si>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</si>
  <si>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</si>
  <si>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</si>
  <si>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</si>
  <si>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</si>
  <si>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</si>
  <si>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</si>
  <si>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</si>
  <si>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</si>
  <si>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</si>
  <si>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</si>
  <si>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</si>
  <si>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</si>
  <si>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</si>
  <si>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</si>
  <si>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</si>
  <si>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</si>
  <si>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</si>
  <si>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</si>
  <si>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</si>
  <si>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</si>
  <si>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</si>
  <si>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</si>
  <si>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</si>
  <si>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</si>
  <si>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</si>
  <si>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</si>
  <si>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</si>
  <si>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</si>
  <si>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</si>
  <si>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</si>
  <si>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</si>
  <si>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</si>
  <si>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</si>
  <si>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</si>
  <si>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</si>
  <si>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</si>
  <si>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</si>
  <si>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</si>
  <si>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</si>
  <si>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</si>
  <si>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</si>
  <si>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</si>
  <si>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</si>
  <si>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</si>
  <si>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</si>
  <si>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</si>
  <si>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</si>
  <si>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</si>
  <si>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</si>
  <si>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</si>
  <si>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</si>
  <si>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</si>
  <si>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</si>
  <si>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</si>
  <si>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</si>
  <si>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</si>
  <si>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</si>
  <si>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</si>
  <si>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</si>
  <si>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</si>
  <si>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</si>
  <si>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</si>
  <si>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</si>
  <si>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</si>
  <si>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</si>
  <si>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</si>
  <si>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</si>
  <si>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</si>
  <si>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</si>
  <si>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</si>
  <si>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</si>
  <si>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</si>
  <si>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</si>
  <si>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</si>
  <si>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</si>
  <si>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</si>
  <si>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</si>
  <si>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</si>
  <si>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</si>
  <si>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</si>
  <si>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</si>
  <si>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</si>
  <si>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</si>
  <si>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</si>
  <si>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</si>
  <si>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</si>
  <si>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</si>
  <si>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</si>
  <si>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</si>
  <si>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</si>
  <si>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</si>
  <si>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</si>
  <si>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</si>
  <si>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</si>
  <si>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</si>
  <si>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</si>
  <si>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</si>
  <si>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</si>
  <si>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</si>
  <si>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</si>
  <si>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</si>
  <si>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</si>
  <si>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</si>
  <si>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</si>
  <si>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</si>
  <si>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</si>
  <si>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</si>
  <si>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</si>
  <si>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</si>
  <si>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</si>
  <si>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</si>
  <si>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</si>
  <si>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</si>
  <si>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</si>
  <si>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</si>
  <si>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</si>
  <si>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</si>
  <si>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</si>
  <si>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</si>
  <si>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</si>
  <si>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</si>
  <si>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</si>
  <si>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</si>
  <si>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</si>
  <si>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</si>
  <si>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</si>
  <si>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</si>
  <si>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</si>
  <si>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</si>
  <si>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</si>
  <si>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</si>
  <si>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</si>
  <si>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</si>
  <si>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</si>
  <si>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</si>
  <si>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</si>
  <si>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</si>
  <si>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</si>
  <si>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</si>
  <si>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</si>
  <si>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</si>
  <si>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</si>
  <si>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</si>
  <si>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</si>
  <si>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</si>
  <si>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</si>
  <si>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</si>
  <si>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</si>
  <si>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</si>
  <si>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</si>
  <si>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</si>
  <si>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</si>
  <si>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</si>
  <si>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</si>
  <si>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</si>
  <si>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</si>
  <si>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</si>
  <si>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</si>
  <si>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</si>
  <si>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</si>
  <si>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</si>
  <si>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</si>
  <si>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</si>
  <si>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</si>
  <si>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</si>
  <si>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</si>
  <si>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</si>
  <si>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</si>
  <si>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</si>
  <si>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</si>
  <si>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</si>
  <si>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</si>
  <si>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</si>
  <si>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</si>
  <si>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</si>
  <si>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</si>
  <si>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</si>
  <si>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</si>
  <si>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</si>
  <si>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</si>
  <si>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</si>
  <si>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</si>
  <si>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</si>
  <si>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</si>
  <si>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</si>
  <si>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</si>
  <si>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</si>
  <si>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</si>
  <si>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</si>
  <si>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</si>
  <si>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</si>
  <si>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</si>
  <si>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</si>
  <si>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</si>
  <si>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</si>
  <si>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</si>
  <si>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</si>
  <si>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</si>
  <si>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</si>
  <si>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</si>
  <si>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</si>
  <si>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</si>
  <si>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</si>
  <si>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</si>
  <si>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</si>
  <si>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</si>
  <si>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</si>
  <si>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</si>
  <si>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</si>
  <si>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</si>
  <si>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</si>
  <si>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</si>
  <si>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</si>
  <si>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</si>
  <si>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</si>
  <si>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</si>
  <si>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</si>
  <si>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</si>
  <si>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</si>
  <si>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</si>
  <si>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</si>
  <si>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</si>
  <si>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</si>
  <si>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</si>
  <si>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</si>
  <si>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</si>
  <si>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</si>
  <si>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</si>
  <si>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</si>
  <si>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</si>
  <si>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</si>
  <si>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</si>
  <si>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</si>
  <si>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</si>
  <si>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</si>
  <si>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</si>
  <si>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</si>
  <si>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</si>
  <si>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</si>
  <si>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</si>
  <si>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</si>
  <si>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</si>
  <si>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</si>
  <si>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</si>
  <si>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</si>
  <si>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</si>
  <si>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</si>
  <si>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</si>
  <si>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</si>
  <si>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</si>
  <si>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</si>
  <si>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</si>
  <si>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</si>
  <si>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</si>
  <si>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</si>
  <si>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</si>
  <si>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</si>
  <si>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</si>
  <si>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</si>
  <si>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</si>
  <si>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</si>
  <si>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</si>
  <si>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</si>
  <si>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</si>
  <si>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</si>
  <si>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</si>
  <si>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</si>
  <si>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</si>
  <si>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</si>
  <si>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</si>
  <si>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</si>
  <si>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</si>
  <si>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</si>
  <si>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</si>
  <si>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</si>
  <si>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</si>
  <si>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</si>
  <si>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</si>
  <si>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</si>
  <si>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</si>
  <si>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</si>
  <si>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</si>
  <si>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</si>
  <si>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</si>
  <si>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</si>
  <si>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</si>
  <si>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</si>
  <si>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</si>
  <si>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</si>
  <si>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</si>
  <si>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</si>
  <si>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</si>
  <si>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</si>
  <si>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</si>
  <si>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</si>
  <si>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</si>
  <si>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</si>
  <si>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</si>
  <si>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</si>
  <si>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</si>
  <si>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</si>
  <si>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</si>
  <si>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</si>
  <si>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</si>
  <si>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</si>
  <si>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</si>
  <si>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</si>
  <si>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</si>
  <si>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</si>
  <si>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</si>
  <si>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</si>
  <si>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</si>
  <si>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</si>
  <si>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</si>
  <si>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</si>
  <si>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</si>
  <si>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</si>
  <si>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</si>
  <si>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</si>
  <si>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</si>
  <si>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</si>
  <si>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</si>
  <si>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</si>
  <si>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</si>
  <si>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</si>
  <si>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</si>
  <si>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</si>
  <si>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</si>
  <si>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</si>
  <si>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</si>
  <si>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</si>
  <si>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</si>
  <si>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</si>
  <si>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</si>
  <si>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</si>
  <si>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</si>
  <si>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</si>
  <si>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</si>
  <si>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</si>
  <si>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</si>
  <si>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</si>
  <si>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</si>
  <si>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</si>
  <si>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</si>
  <si>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</si>
  <si>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</si>
  <si>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</si>
  <si>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</si>
  <si>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</si>
  <si>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</si>
  <si>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</si>
  <si>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</si>
  <si>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</si>
  <si>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</si>
  <si>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</si>
  <si>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</si>
  <si>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</si>
  <si>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</si>
  <si>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</si>
  <si>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</si>
  <si>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</si>
  <si>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</si>
  <si>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</si>
  <si>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</si>
  <si>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</si>
  <si>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</si>
  <si>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</si>
  <si>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</si>
  <si>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</si>
  <si>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</si>
  <si>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</si>
  <si>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</si>
  <si>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</si>
  <si>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</si>
  <si>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</si>
  <si>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</si>
  <si>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</si>
  <si>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</si>
  <si>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</si>
  <si>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</si>
  <si>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</si>
  <si>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</si>
  <si>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</si>
  <si>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</si>
  <si>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</si>
  <si>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</si>
  <si>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</si>
  <si>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</si>
  <si>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</si>
  <si>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</si>
  <si>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</si>
  <si>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</si>
  <si>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</si>
  <si>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</si>
  <si>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</si>
  <si>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</si>
  <si>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</si>
  <si>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</si>
  <si>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</si>
  <si>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</si>
  <si>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</si>
  <si>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</si>
  <si>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</si>
  <si>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</si>
  <si>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</si>
  <si>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</si>
  <si>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</si>
  <si>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</si>
  <si>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</si>
  <si>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</si>
  <si>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</si>
  <si>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</si>
  <si>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</si>
  <si>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</si>
  <si>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</si>
  <si>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</si>
  <si>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</si>
  <si>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</si>
  <si>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</si>
  <si>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</si>
  <si>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</si>
  <si>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</si>
  <si>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</si>
  <si>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</si>
  <si>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</si>
  <si>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</si>
  <si>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</si>
  <si>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</si>
  <si>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</si>
  <si>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</si>
  <si>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</si>
  <si>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</si>
  <si>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</si>
  <si>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</si>
  <si>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</si>
  <si>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</si>
  <si>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</si>
  <si>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</si>
  <si>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</si>
  <si>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</si>
  <si>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</si>
  <si>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</si>
  <si>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</si>
  <si>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</si>
  <si>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</si>
  <si>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</si>
  <si>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</si>
  <si>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</si>
  <si>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</si>
  <si>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</si>
  <si>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</si>
  <si>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</si>
  <si>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</si>
  <si>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</si>
  <si>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</si>
  <si>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</si>
  <si>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</si>
  <si>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</si>
  <si>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</si>
  <si>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</si>
  <si>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</si>
  <si>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</si>
  <si>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</si>
  <si>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</si>
  <si>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</si>
  <si>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</si>
  <si>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</si>
  <si>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</si>
  <si>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</si>
  <si>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</si>
  <si>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</si>
  <si>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</si>
  <si>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</si>
  <si>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</si>
  <si>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</si>
  <si>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</si>
  <si>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</si>
  <si>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</si>
  <si>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</si>
  <si>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</si>
  <si>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</si>
  <si>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</si>
  <si>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</si>
  <si>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</si>
  <si>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</si>
  <si>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</si>
  <si>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</si>
  <si>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</si>
  <si>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</si>
  <si>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</si>
  <si>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</si>
  <si>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</si>
  <si>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</si>
  <si>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</si>
  <si>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</si>
  <si>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</si>
  <si>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</si>
  <si>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</si>
  <si>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</si>
  <si>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</si>
  <si>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</si>
  <si>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</si>
  <si>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</si>
  <si>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</si>
  <si>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</si>
  <si>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</si>
  <si>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</si>
  <si>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</si>
  <si>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</si>
  <si>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</si>
  <si>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</si>
  <si>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</si>
  <si>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</si>
  <si>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</si>
  <si>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</si>
  <si>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</si>
  <si>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</si>
  <si>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</si>
  <si>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</si>
  <si>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</si>
  <si>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</si>
  <si>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</si>
  <si>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</si>
  <si>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</si>
  <si>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</si>
  <si>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</si>
  <si>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</si>
  <si>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</si>
  <si>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</si>
  <si>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</si>
  <si>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</si>
  <si>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</si>
  <si>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</si>
  <si>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</si>
  <si>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</si>
  <si>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</si>
  <si>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</si>
  <si>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</si>
  <si>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</si>
  <si>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</si>
  <si>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</si>
  <si>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</si>
  <si>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</si>
  <si>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</si>
  <si>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</si>
  <si>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</si>
  <si>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</si>
  <si>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</si>
  <si>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</si>
  <si>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</si>
  <si>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</si>
  <si>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</si>
  <si>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</si>
  <si>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</si>
  <si>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</si>
  <si>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</si>
  <si>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</si>
  <si>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</si>
  <si>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</si>
  <si>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</si>
  <si>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</si>
  <si>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</si>
  <si>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</si>
  <si>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</si>
  <si>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</si>
  <si>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</si>
  <si>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</si>
  <si>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</si>
  <si>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</si>
  <si>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</si>
  <si>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</si>
  <si>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</si>
  <si>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</si>
  <si>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</si>
  <si>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</si>
  <si>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</si>
  <si>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</si>
  <si>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</si>
  <si>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</si>
  <si>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</si>
  <si>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</si>
  <si>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</si>
  <si>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</si>
  <si>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</si>
  <si>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</si>
  <si>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</si>
  <si>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</si>
  <si>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</si>
  <si>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</si>
  <si>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</si>
  <si>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</si>
  <si>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</si>
  <si>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</si>
  <si>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</si>
  <si>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</si>
  <si>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</si>
  <si>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</si>
  <si>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</si>
  <si>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</si>
  <si>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</si>
  <si>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</si>
  <si>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</si>
  <si>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</si>
  <si>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</si>
  <si>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</si>
  <si>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</si>
  <si>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</si>
  <si>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</si>
  <si>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</si>
  <si>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</si>
  <si>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</si>
  <si>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</si>
  <si>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</si>
  <si>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</si>
  <si>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</si>
  <si>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</si>
  <si>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</si>
  <si>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</si>
  <si>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</si>
  <si>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</si>
  <si>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</si>
  <si>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</si>
  <si>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</si>
  <si>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</si>
  <si>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</si>
  <si>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</si>
  <si>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</si>
  <si>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</si>
  <si>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</si>
  <si>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</si>
  <si>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</si>
  <si>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</si>
  <si>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</si>
  <si>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</si>
  <si>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</si>
  <si>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</si>
  <si>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</si>
  <si>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</si>
  <si>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</si>
  <si>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</si>
  <si>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</si>
  <si>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</si>
  <si>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</si>
  <si>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</si>
  <si>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</si>
  <si>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</si>
  <si>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</si>
  <si>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</si>
  <si>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</si>
  <si>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</si>
  <si>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</si>
  <si>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</si>
  <si>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</si>
  <si>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</si>
  <si>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</si>
  <si>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</si>
  <si>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</si>
  <si>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</si>
  <si>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</si>
  <si>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</si>
  <si>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</si>
  <si>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</si>
  <si>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</si>
  <si>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</si>
  <si>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</si>
  <si>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</si>
  <si>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</si>
  <si>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</si>
  <si>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</si>
  <si>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</si>
  <si>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</si>
  <si>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</si>
  <si>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</si>
  <si>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</si>
  <si>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</si>
  <si>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</si>
  <si>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</si>
  <si>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</si>
  <si>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</si>
  <si>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</si>
  <si>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</si>
  <si>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</si>
  <si>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</si>
  <si>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</si>
  <si>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</si>
  <si>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</si>
  <si>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</si>
  <si>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</si>
  <si>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</si>
  <si>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</si>
  <si>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</si>
  <si>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</si>
  <si>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</si>
  <si>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</si>
  <si>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</si>
  <si>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</si>
  <si>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</si>
  <si>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</si>
  <si>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</si>
  <si>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</si>
  <si>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</si>
  <si>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</si>
  <si>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</si>
  <si>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</si>
  <si>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</si>
  <si>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</si>
  <si>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</si>
  <si>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</si>
  <si>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</si>
  <si>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</si>
  <si>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</si>
  <si>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</si>
  <si>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</si>
  <si>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</si>
  <si>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</si>
  <si>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</si>
  <si>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</si>
  <si>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</si>
  <si>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</si>
  <si>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</si>
  <si>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</si>
  <si>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</si>
  <si>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</si>
  <si>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</si>
  <si>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</si>
  <si>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</si>
  <si>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</si>
  <si>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</si>
  <si>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</si>
  <si>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</si>
  <si>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</si>
  <si>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</si>
  <si>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</si>
  <si>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</si>
  <si>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</si>
  <si>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</si>
  <si>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</si>
  <si>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</si>
  <si>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</si>
  <si>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</si>
  <si>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</si>
  <si>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</si>
  <si>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</si>
  <si>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</si>
  <si>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</si>
  <si>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</si>
  <si>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</si>
  <si>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</si>
  <si>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</si>
  <si>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</si>
  <si>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</si>
  <si>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</si>
  <si>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</si>
  <si>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</si>
  <si>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</si>
  <si>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</si>
  <si>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</si>
  <si>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</si>
  <si>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</si>
  <si>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</si>
  <si>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</si>
  <si>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</si>
  <si>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</si>
  <si>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</si>
  <si>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</si>
  <si>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</si>
  <si>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</si>
  <si>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</si>
  <si>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</si>
  <si>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</si>
  <si>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</si>
  <si>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</si>
  <si>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</si>
  <si>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</si>
  <si>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</si>
  <si>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</si>
  <si>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</si>
  <si>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</si>
  <si>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</si>
  <si>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</si>
  <si>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</si>
  <si>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</si>
  <si>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</si>
  <si>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</si>
  <si>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</si>
  <si>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</si>
  <si>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</si>
  <si>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</si>
  <si>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</si>
  <si>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</si>
  <si>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</si>
  <si>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</si>
  <si>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</si>
  <si>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</si>
  <si>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</si>
  <si>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</si>
  <si>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</si>
  <si>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</si>
  <si>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</si>
  <si>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</si>
  <si>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</si>
  <si>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</si>
  <si>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</si>
  <si>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</si>
  <si>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</si>
  <si>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</si>
  <si>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</si>
  <si>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</si>
  <si>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</si>
  <si>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</si>
  <si>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</si>
  <si>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</si>
  <si>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</si>
  <si>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</si>
  <si>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</si>
  <si>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</si>
  <si>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</si>
  <si>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</si>
  <si>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</si>
  <si>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</si>
  <si>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</si>
  <si>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</si>
  <si>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</si>
  <si>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</si>
  <si>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</si>
  <si>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</si>
  <si>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</si>
  <si>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</si>
  <si>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</si>
  <si>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</si>
  <si>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</si>
  <si>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</si>
  <si>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</si>
  <si>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</si>
  <si>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</si>
  <si>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</si>
  <si>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</si>
  <si>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</si>
  <si>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</si>
  <si>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</si>
  <si>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</si>
  <si>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</si>
  <si>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</si>
  <si>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</si>
  <si>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</si>
  <si>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</si>
  <si>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</si>
  <si>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</si>
  <si>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</si>
  <si>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</si>
  <si>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</si>
  <si>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</si>
  <si>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</si>
  <si>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</si>
  <si>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</si>
  <si>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</si>
  <si>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</si>
  <si>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</si>
  <si>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</si>
  <si>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</si>
  <si>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</si>
  <si>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</si>
  <si>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</si>
  <si>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</si>
  <si>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</si>
  <si>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</si>
  <si>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</si>
  <si>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</si>
  <si>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</si>
  <si>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</si>
  <si>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</si>
  <si>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</si>
  <si>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</si>
  <si>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</si>
  <si>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</si>
  <si>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</si>
  <si>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</si>
  <si>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</si>
  <si>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</si>
  <si>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</si>
  <si>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</si>
  <si>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</si>
  <si>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</si>
  <si>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</si>
  <si>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</si>
  <si>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</si>
  <si>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</si>
  <si>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</si>
  <si>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</si>
  <si>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</si>
  <si>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</si>
  <si>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</si>
  <si>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</si>
  <si>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</si>
  <si>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</si>
  <si>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</si>
  <si>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</si>
  <si>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</si>
  <si>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</si>
  <si>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</si>
  <si>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</si>
  <si>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</si>
  <si>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</si>
  <si>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</si>
  <si>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</si>
  <si>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</si>
  <si>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</si>
  <si>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</si>
  <si>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</si>
  <si>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</si>
  <si>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</si>
  <si>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</si>
  <si>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</si>
  <si>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</si>
  <si>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</si>
  <si>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</si>
  <si>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</si>
  <si>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</si>
  <si>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</si>
  <si>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</si>
  <si>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</si>
  <si>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</si>
  <si>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</si>
  <si>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</si>
  <si>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</si>
  <si>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</si>
  <si>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</si>
  <si>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</si>
  <si>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</si>
  <si>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</si>
  <si>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</si>
  <si>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</si>
  <si>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</si>
  <si>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</si>
  <si>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</si>
  <si>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</si>
  <si>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</si>
  <si>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</si>
  <si>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</si>
  <si>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</si>
  <si>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</si>
  <si>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</si>
  <si>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</si>
  <si>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</si>
  <si>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</si>
  <si>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</si>
  <si>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</si>
  <si>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</si>
  <si>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</si>
  <si>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</si>
  <si>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</si>
  <si>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</si>
  <si>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</si>
  <si>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</si>
  <si>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</si>
  <si>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</si>
  <si>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</si>
  <si>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</si>
  <si>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</si>
  <si>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</si>
  <si>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</si>
  <si>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</si>
  <si>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</si>
  <si>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</si>
  <si>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</si>
  <si>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</si>
  <si>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</si>
  <si>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</si>
  <si>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</si>
  <si>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</si>
  <si>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</si>
  <si>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</si>
  <si>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</si>
  <si>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</si>
  <si>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</si>
  <si>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</si>
  <si>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</si>
  <si>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</si>
  <si>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</si>
  <si>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</si>
  <si>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</si>
  <si>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</si>
  <si>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</si>
  <si>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</si>
  <si>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</si>
  <si>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</si>
  <si>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</si>
  <si>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</si>
  <si>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</si>
  <si>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</si>
  <si>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</si>
  <si>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</si>
  <si>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</si>
  <si>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</si>
  <si>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</si>
  <si>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</si>
  <si>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</si>
  <si>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</si>
  <si>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</si>
  <si>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</si>
  <si>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</si>
  <si>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</si>
  <si>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</si>
  <si>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</si>
  <si>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</si>
  <si>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</si>
  <si>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</si>
  <si>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</si>
  <si>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</si>
  <si>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</si>
  <si>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</si>
  <si>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</si>
  <si>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</si>
  <si>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</si>
  <si>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</si>
  <si>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</si>
  <si>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</si>
  <si>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</si>
  <si>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</si>
  <si>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</si>
  <si>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</si>
  <si>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</si>
  <si>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</si>
  <si>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</si>
  <si>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</si>
  <si>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</si>
  <si>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</si>
  <si>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</si>
  <si>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</si>
  <si>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</si>
  <si>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</si>
  <si>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</si>
  <si>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</si>
  <si>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</si>
  <si>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</si>
  <si>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</si>
  <si>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</si>
  <si>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</si>
  <si>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</si>
  <si>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</si>
  <si>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</si>
  <si>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</si>
  <si>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</si>
  <si>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</si>
  <si>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</si>
  <si>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</si>
  <si>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</si>
  <si>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</si>
  <si>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</si>
  <si>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</si>
  <si>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</si>
  <si>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</si>
  <si>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</si>
  <si>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</si>
  <si>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</si>
  <si>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</si>
  <si>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</si>
  <si>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</si>
  <si>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</si>
  <si>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</si>
  <si>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</si>
  <si>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</si>
  <si>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</si>
  <si>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</si>
  <si>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</si>
  <si>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None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</si>
  <si>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</si>
  <si>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</si>
  <si>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</si>
  <si>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</si>
  <si>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</si>
  <si>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</si>
  <si>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</si>
  <si>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</si>
  <si>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</si>
  <si>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</si>
  <si>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</si>
  <si>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</si>
  <si>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</si>
  <si>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</si>
  <si>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</si>
  <si>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</si>
  <si>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</si>
  <si>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</si>
  <si>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</si>
  <si>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</si>
  <si>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</si>
  <si>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</si>
  <si>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</si>
  <si>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</si>
  <si>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</si>
  <si>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</si>
  <si>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</si>
  <si>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</si>
  <si>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</si>
  <si>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</si>
  <si>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</si>
  <si>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</si>
  <si>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</si>
  <si>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</si>
  <si>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</si>
  <si>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</si>
  <si>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</si>
  <si>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</si>
  <si>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</si>
  <si>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</si>
  <si>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</si>
  <si>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</si>
  <si>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</si>
  <si>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</si>
  <si>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</si>
  <si>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</si>
  <si>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</si>
  <si>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</si>
  <si>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</si>
  <si>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</si>
  <si>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</si>
  <si>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</si>
  <si>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</si>
  <si>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</si>
  <si>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</si>
  <si>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</si>
  <si>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</si>
  <si>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</si>
  <si>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</si>
  <si>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</si>
  <si>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</si>
  <si>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</si>
  <si>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</si>
  <si>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</si>
  <si>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</si>
  <si>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</si>
  <si>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</si>
  <si>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</si>
  <si>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</si>
  <si>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</si>
  <si>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</si>
  <si>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</si>
  <si>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</si>
  <si>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</si>
  <si>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</si>
  <si>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</si>
  <si>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</si>
  <si>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</si>
  <si>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</si>
  <si>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</si>
  <si>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</si>
  <si>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</si>
  <si>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</si>
  <si>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</si>
  <si>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</si>
  <si>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</si>
  <si>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</si>
  <si>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</si>
  <si>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</si>
  <si>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</si>
  <si>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</si>
  <si>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</si>
  <si>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</si>
  <si>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</si>
  <si>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</si>
  <si>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</si>
  <si>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</si>
  <si>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</si>
  <si>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</si>
  <si>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</si>
  <si>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</si>
  <si>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</si>
  <si>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</si>
  <si>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</si>
  <si>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</si>
  <si>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</si>
  <si>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</si>
  <si>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</si>
  <si>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</si>
  <si>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</si>
  <si>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</si>
  <si>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</si>
  <si>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</si>
  <si>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</si>
  <si>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</si>
  <si>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</si>
  <si>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</si>
  <si>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</si>
  <si>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</si>
  <si>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</si>
  <si>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</si>
  <si>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</si>
  <si>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</si>
  <si>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</si>
  <si>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</si>
  <si>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</si>
  <si>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</si>
  <si>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</si>
  <si>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</si>
  <si>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</si>
  <si>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</si>
  <si>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</si>
  <si>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</si>
  <si>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</si>
  <si>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</si>
  <si>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</si>
  <si>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</si>
  <si>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</si>
  <si>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</si>
  <si>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</si>
  <si>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</si>
  <si>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</si>
  <si>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</si>
  <si>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</si>
  <si>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</si>
  <si>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</si>
  <si>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</si>
  <si>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</si>
  <si>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</si>
  <si>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</si>
  <si>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</si>
  <si>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</si>
  <si>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</si>
  <si>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</si>
  <si>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</si>
  <si>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</si>
  <si>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</si>
  <si>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</si>
  <si>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</si>
  <si>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</si>
  <si>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</si>
  <si>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</si>
  <si>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</si>
  <si>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</si>
  <si>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</si>
  <si>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</si>
  <si>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</si>
  <si>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</si>
  <si>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</si>
  <si>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</si>
  <si>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</si>
  <si>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</si>
  <si>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</si>
  <si>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</si>
  <si>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</si>
  <si>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</si>
  <si>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</si>
  <si>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</si>
  <si>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</si>
  <si>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</si>
  <si>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</si>
  <si>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</si>
  <si>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</si>
  <si>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</si>
  <si>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</si>
  <si>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</si>
  <si>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</si>
  <si>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</si>
  <si>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</si>
  <si>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</si>
  <si>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</si>
  <si>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</si>
  <si>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</si>
  <si>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</si>
  <si>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</si>
  <si>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</si>
  <si>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</si>
  <si>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</si>
  <si>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</si>
  <si>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</si>
  <si>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</si>
  <si>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</si>
  <si>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</si>
  <si>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</si>
  <si>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</si>
  <si>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</si>
  <si>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</si>
  <si>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</si>
  <si>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</si>
  <si>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</si>
  <si>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</si>
  <si>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</si>
  <si>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</si>
  <si>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</si>
  <si>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</si>
  <si>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</si>
  <si>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</si>
  <si>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</si>
  <si>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</si>
  <si>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</si>
  <si>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</si>
  <si>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</si>
  <si>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</si>
  <si>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</si>
  <si>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</si>
  <si>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</si>
  <si>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</si>
  <si>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</si>
  <si>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</si>
  <si>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</si>
  <si>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</si>
  <si>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</si>
  <si>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</si>
  <si>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</si>
  <si>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</si>
  <si>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</si>
  <si>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</si>
  <si>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</si>
  <si>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</si>
  <si>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</si>
  <si>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</si>
  <si>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</si>
  <si>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</si>
  <si>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</si>
  <si>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</si>
  <si>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</si>
  <si>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</si>
  <si>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</si>
  <si>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</si>
  <si>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</si>
  <si>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</si>
  <si>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</si>
  <si>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</si>
  <si>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</si>
  <si>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</si>
  <si>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</si>
  <si>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</si>
  <si>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</si>
  <si>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</si>
  <si>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</si>
  <si>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</si>
  <si>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</si>
  <si>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</si>
  <si>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</si>
  <si>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</si>
  <si>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</si>
  <si>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</si>
  <si>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</si>
  <si>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</si>
  <si>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</si>
  <si>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</si>
  <si>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</si>
  <si>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</si>
  <si>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</si>
  <si>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</si>
  <si>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</si>
  <si>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</si>
  <si>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</si>
  <si>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</si>
  <si>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</si>
  <si>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</si>
  <si>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</si>
  <si>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</si>
  <si>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</si>
  <si>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</si>
  <si>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</si>
  <si>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</si>
  <si>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</si>
  <si>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</si>
  <si>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</si>
  <si>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</si>
  <si>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</si>
  <si>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</si>
  <si>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</si>
  <si>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</si>
  <si>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</si>
  <si>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</si>
  <si>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</si>
  <si>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</si>
  <si>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</si>
  <si>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</si>
  <si>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</si>
  <si>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</si>
  <si>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</si>
  <si>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</si>
  <si>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</si>
  <si>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</si>
  <si>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</si>
  <si>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</si>
  <si>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</si>
  <si>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</si>
  <si>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</si>
  <si>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</si>
  <si>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</si>
  <si>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</si>
  <si>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</si>
  <si>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</si>
  <si>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</si>
  <si>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</si>
  <si>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</si>
  <si>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</si>
  <si>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</si>
  <si>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</si>
  <si>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</si>
  <si>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</si>
  <si>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</si>
  <si>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</si>
  <si>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</si>
  <si>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</si>
  <si>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</si>
  <si>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</si>
  <si>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</si>
  <si>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</si>
  <si>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</si>
  <si>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</si>
  <si>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</si>
  <si>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</si>
  <si>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</si>
  <si>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</si>
  <si>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</si>
  <si>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</si>
  <si>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</si>
  <si>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</si>
  <si>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</si>
  <si>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</si>
  <si>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</si>
  <si>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</si>
  <si>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</si>
  <si>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</si>
  <si>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</si>
  <si>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</si>
  <si>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</si>
  <si>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</si>
  <si>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</si>
  <si>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</si>
  <si>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</si>
  <si>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</si>
  <si>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</si>
  <si>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</si>
  <si>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</si>
  <si>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</si>
  <si>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</si>
  <si>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</si>
  <si>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</si>
  <si>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</si>
  <si>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</si>
  <si>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</si>
  <si>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</si>
  <si>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</si>
  <si>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</si>
  <si>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</si>
  <si>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</si>
  <si>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</si>
  <si>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</si>
  <si>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</si>
  <si>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</si>
  <si>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</si>
  <si>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</si>
  <si>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</si>
  <si>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</si>
  <si>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</si>
  <si>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</si>
  <si>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</si>
  <si>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</si>
  <si>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</si>
  <si>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</si>
  <si>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</si>
  <si>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</si>
  <si>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</si>
  <si>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</si>
  <si>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</si>
  <si>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</si>
  <si>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</si>
  <si>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</si>
  <si>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</si>
  <si>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</si>
  <si>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</si>
  <si>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</si>
  <si>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</si>
  <si>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</si>
  <si>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</si>
  <si>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</si>
  <si>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</si>
  <si>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</si>
  <si>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</si>
  <si>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</si>
  <si>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</si>
  <si>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</si>
  <si>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</si>
  <si>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</si>
  <si>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</si>
  <si>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</si>
  <si>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</si>
  <si>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</si>
  <si>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</si>
  <si>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</si>
  <si>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</si>
  <si>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</si>
  <si>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</si>
  <si>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</si>
  <si>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</si>
  <si>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</si>
  <si>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</si>
  <si>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</si>
  <si>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</si>
  <si>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</si>
  <si>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</si>
  <si>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</si>
  <si>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</si>
  <si>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</si>
  <si>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</si>
  <si>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</si>
  <si>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</si>
  <si>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</si>
  <si>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</si>
  <si>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</si>
  <si>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</si>
  <si>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</si>
  <si>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</si>
  <si>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</si>
  <si>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</si>
  <si>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</si>
  <si>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</si>
  <si>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</si>
  <si>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</si>
  <si>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</si>
  <si>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</si>
  <si>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</si>
  <si>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</si>
  <si>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</si>
  <si>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</si>
  <si>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</si>
  <si>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</si>
  <si>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</si>
  <si>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</si>
  <si>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</si>
  <si>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</si>
  <si>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</si>
  <si>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</si>
  <si>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</si>
  <si>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</si>
  <si>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</si>
  <si>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</si>
  <si>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</si>
  <si>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</si>
  <si>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</si>
  <si>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</si>
  <si>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</si>
  <si>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</si>
  <si>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</si>
  <si>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</si>
  <si>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</si>
  <si>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</si>
  <si>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</si>
  <si>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</si>
  <si>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</si>
  <si>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</si>
  <si>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</si>
  <si>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</si>
  <si>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</si>
  <si>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</si>
  <si>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</si>
  <si>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</si>
  <si>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</si>
  <si>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</si>
  <si>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</si>
  <si>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</si>
  <si>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</si>
  <si>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</si>
  <si>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</si>
  <si>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</si>
  <si>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</si>
  <si>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</si>
  <si>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</si>
  <si>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</si>
  <si>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</si>
  <si>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</si>
  <si>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</si>
  <si>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</si>
  <si>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</si>
  <si>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</si>
  <si>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</si>
  <si>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</si>
  <si>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</si>
  <si>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</si>
  <si>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</si>
  <si>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</si>
  <si>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</si>
  <si>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</si>
  <si>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</si>
  <si>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</si>
  <si>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</si>
  <si>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</si>
  <si>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</si>
  <si>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</si>
  <si>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</si>
  <si>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</si>
  <si>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</si>
  <si>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</si>
  <si>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</si>
  <si>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</si>
  <si>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</si>
  <si>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</si>
  <si>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</si>
  <si>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</si>
  <si>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</si>
  <si>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</si>
  <si>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</si>
  <si>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</si>
  <si>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</si>
  <si>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</si>
  <si>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</si>
  <si>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</si>
  <si>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</si>
  <si>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</si>
  <si>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</si>
  <si>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</si>
  <si>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</si>
  <si>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</si>
  <si>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</si>
  <si>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</si>
  <si>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</si>
  <si>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</si>
  <si>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</si>
  <si>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</si>
  <si>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</si>
  <si>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</si>
  <si>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</si>
  <si>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</si>
  <si>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</si>
  <si>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</si>
  <si>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</si>
  <si>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</si>
  <si>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</si>
  <si>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</si>
  <si>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</si>
  <si>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</si>
  <si>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</si>
  <si>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</si>
  <si>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</si>
  <si>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</si>
  <si>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</si>
  <si>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</si>
  <si>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</si>
  <si>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</si>
  <si>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</si>
  <si>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</si>
  <si>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</si>
  <si>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</si>
  <si>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</si>
  <si>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</si>
  <si>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</si>
  <si>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</si>
  <si>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</si>
  <si>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</si>
  <si>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</si>
  <si>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</si>
  <si>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</si>
  <si>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</si>
  <si>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</si>
  <si>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</si>
  <si>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</si>
  <si>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</si>
  <si>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</si>
  <si>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</si>
  <si>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</si>
  <si>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</si>
  <si>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</si>
  <si>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</si>
  <si>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</si>
  <si>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</si>
  <si>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</si>
  <si>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</si>
  <si>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</si>
  <si>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</si>
  <si>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</si>
  <si>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</si>
  <si>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</si>
  <si>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</si>
  <si>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</si>
  <si>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</si>
  <si>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</si>
  <si>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</si>
  <si>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</si>
  <si>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</si>
  <si>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</si>
  <si>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</si>
  <si>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</si>
  <si>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</si>
  <si>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</si>
  <si>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</si>
  <si>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</si>
  <si>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</si>
  <si>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</si>
  <si>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</si>
  <si>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</si>
  <si>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</si>
  <si>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</si>
  <si>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</si>
  <si>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</si>
  <si>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</si>
  <si>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</si>
  <si>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</si>
  <si>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</si>
  <si>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</si>
  <si>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</si>
  <si>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</si>
  <si>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</si>
  <si>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</si>
  <si>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</si>
  <si>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</si>
  <si>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</si>
  <si>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</si>
  <si>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</si>
  <si>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</si>
  <si>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</si>
  <si>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</si>
  <si>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</si>
  <si>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</si>
  <si>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</si>
  <si>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</si>
  <si>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</si>
  <si>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</si>
  <si>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</si>
  <si>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</si>
  <si>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</si>
  <si>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</si>
  <si>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</si>
  <si>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</si>
  <si>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</si>
  <si>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</si>
  <si>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</si>
  <si>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</si>
  <si>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</si>
  <si>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</si>
  <si>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</si>
  <si>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</si>
  <si>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</si>
  <si>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</si>
  <si>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</si>
  <si>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</si>
  <si>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</si>
  <si>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Statistics</t>
  </si>
  <si>
    <t>Total Price</t>
  </si>
  <si>
    <t>Count ( Total Orders)</t>
  </si>
  <si>
    <t>Sum ( Total Sales Revenue )</t>
  </si>
  <si>
    <t>Mean ( Average Unit Price )</t>
  </si>
  <si>
    <t>Mode ( Most Frequent Price )</t>
  </si>
  <si>
    <t>Median ( Middle Unit Price )</t>
  </si>
  <si>
    <t>Min ( Lowest Price )</t>
  </si>
  <si>
    <t>Max (Highest Price )</t>
  </si>
  <si>
    <t>Quartile Bounds</t>
  </si>
  <si>
    <t>Quartiles for Outliers Detection</t>
  </si>
  <si>
    <t>Q1 ( 25th Percentile )</t>
  </si>
  <si>
    <t>Q3 ( 75th Percentile )</t>
  </si>
  <si>
    <t>IQR ( Interquartile Range )</t>
  </si>
  <si>
    <t>Upper Boundary for Outliers</t>
  </si>
  <si>
    <t>Lower Boundary for Outliers</t>
  </si>
  <si>
    <t>Count of Lower Outliers</t>
  </si>
  <si>
    <t>Row Labels</t>
  </si>
  <si>
    <t>Grand Total</t>
  </si>
  <si>
    <t>Sum of TotalPrice</t>
  </si>
  <si>
    <t>Sum of Quantity</t>
  </si>
  <si>
    <t>Count of OrderID</t>
  </si>
  <si>
    <t>Count of CustomerID</t>
  </si>
  <si>
    <t>Marketing source Effectiveness</t>
  </si>
  <si>
    <t>Payment Method Distribution</t>
  </si>
  <si>
    <t>Ordet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</si>
</sst>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0" fontId="0" fillId="0" borderId="0" xfId="0" applyAlignment="1"/>
    <xf numFmtId="0" fontId="4" fillId="0" borderId="0" xfId="0" applyFont="1" applyBorder="1" applyAlignment="1">
      <alignment vertical="center" wrapText="1"/>
    </xf>
    <xf numFmtId="0" fontId="0" fillId="3" borderId="2" xfId="0" applyFont="1" applyFill="1" applyBorder="1"/>
    <xf numFmtId="0" fontId="3" fillId="2" borderId="0" xfId="0" applyFont="1" applyFill="1" applyBorder="1"/>
    <xf numFmtId="0" fontId="0" fillId="3" borderId="5" xfId="0" applyFont="1" applyFill="1" applyBorder="1"/>
    <xf numFmtId="0" fontId="0" fillId="4" borderId="2" xfId="0" applyFont="1" applyFill="1" applyBorder="1"/>
    <xf numFmtId="44" fontId="3" fillId="2" borderId="4" xfId="1" applyFont="1" applyFill="1" applyBorder="1"/>
    <xf numFmtId="44" fontId="0" fillId="3" borderId="6" xfId="1" applyFont="1" applyFill="1" applyBorder="1"/>
    <xf numFmtId="44" fontId="0" fillId="4" borderId="3" xfId="1" applyFont="1" applyFill="1" applyBorder="1"/>
    <xf numFmtId="44" fontId="0" fillId="3" borderId="3" xfId="1" applyFont="1" applyFill="1" applyBorder="1"/>
    <xf numFmtId="44" fontId="0" fillId="0" borderId="0" xfId="1" applyFont="1"/>
    <xf numFmtId="0" fontId="0" fillId="0" borderId="0" xfId="0" applyFill="1"/>
    <xf numFmtId="0" fontId="0" fillId="5" borderId="0" xfId="0" applyFill="1"/>
    <xf numFmtId="44" fontId="0" fillId="5" borderId="0" xfId="1" applyFont="1" applyFill="1"/>
    <xf numFmtId="0" fontId="0" fillId="6" borderId="0" xfId="0" applyFill="1"/>
    <xf numFmtId="44" fontId="0" fillId="6" borderId="0" xfId="1" applyFont="1" applyFill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1" fillId="7" borderId="0" xfId="0" applyFont="1" applyFill="1"/>
    <xf numFmtId="44" fontId="1" fillId="7" borderId="0" xfId="1" applyFont="1" applyFill="1"/>
  </cellXfs>
  <cellStyles count="2">
    <cellStyle name="Currency" xfId="1" builtinId="4"/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 5400 TOUCH" refreshedDate="46277.520102083334" createdVersion="7" refreshedVersion="7" minRefreshableVersion="3" recordCount="1200" xr:uid="{1260D3F7-DA41-4C99-9EBD-3DBBE0B95316}">
  <cacheSource type="worksheet">
    <worksheetSource name="Sheet1"/>
  </cacheSource>
  <cacheFields count="14">
    <cacheField name="OrderID" numFmtId="0">
      <sharedItems/>
    </cacheField>
    <cacheField name="Date" numFmtId="0">
      <sharedItems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s v="2023-01-04"/>
    <s v="C72649"/>
    <x v="0"/>
    <n v="5"/>
    <n v="570.62"/>
    <s v="928 Main St"/>
    <x v="0"/>
    <x v="0"/>
    <s v="TRK37947903"/>
    <n v="7"/>
    <s v="SAVE10"/>
    <x v="0"/>
    <n v="2853.1"/>
  </r>
  <r>
    <s v="ORD200001"/>
    <s v="2024-08-23"/>
    <s v="C75739"/>
    <x v="1"/>
    <n v="2"/>
    <n v="151.35"/>
    <s v="823 Main St"/>
    <x v="1"/>
    <x v="0"/>
    <s v="TRK91186779"/>
    <n v="3"/>
    <s v="SAVE10"/>
    <x v="1"/>
    <n v="302.7"/>
  </r>
  <r>
    <s v="ORD200002"/>
    <s v="2024-02-27"/>
    <s v="C81728"/>
    <x v="2"/>
    <n v="5"/>
    <n v="550.67999999999995"/>
    <s v="512 Main St"/>
    <x v="2"/>
    <x v="1"/>
    <s v="TRK42903982"/>
    <n v="8"/>
    <s v="FREESHIP"/>
    <x v="2"/>
    <n v="2753.4"/>
  </r>
  <r>
    <s v="ORD200003"/>
    <s v="2023-10-15"/>
    <s v="C33540"/>
    <x v="3"/>
    <n v="1"/>
    <n v="273.19"/>
    <s v="275 Main St"/>
    <x v="0"/>
    <x v="2"/>
    <s v="TRK62788070"/>
    <n v="5"/>
    <s v="SAVE10"/>
    <x v="3"/>
    <n v="273.19"/>
  </r>
  <r>
    <s v="ORD200004"/>
    <s v="2025-05-08"/>
    <s v="C81840"/>
    <x v="4"/>
    <n v="4"/>
    <n v="626.01"/>
    <s v="668 Main St"/>
    <x v="1"/>
    <x v="3"/>
    <s v="TRK29241424"/>
    <n v="8"/>
    <s v="SAVE10"/>
    <x v="2"/>
    <n v="2504.04"/>
  </r>
  <r>
    <s v="ORD200005"/>
    <s v="2023-10-23"/>
    <s v="C37249"/>
    <x v="1"/>
    <n v="2"/>
    <n v="245.86"/>
    <s v="934 Main St"/>
    <x v="2"/>
    <x v="0"/>
    <s v="TRK72976927"/>
    <n v="4"/>
    <s v="SAVE10"/>
    <x v="0"/>
    <n v="491.72"/>
  </r>
  <r>
    <s v="ORD200006"/>
    <s v="2025-06-17"/>
    <s v="C83492"/>
    <x v="5"/>
    <n v="1"/>
    <n v="664.42"/>
    <s v="986 Main St"/>
    <x v="3"/>
    <x v="2"/>
    <s v="TRK96417362"/>
    <n v="6"/>
    <s v="SAVE10"/>
    <x v="3"/>
    <n v="664.42"/>
  </r>
  <r>
    <s v="ORD200007"/>
    <s v="2023-05-12"/>
    <s v="C41460"/>
    <x v="0"/>
    <n v="5"/>
    <n v="149.55000000000001"/>
    <s v="706 Main St"/>
    <x v="4"/>
    <x v="0"/>
    <s v="TRK78809193"/>
    <n v="9"/>
    <s v="FREESHIP"/>
    <x v="3"/>
    <n v="747.75"/>
  </r>
  <r>
    <s v="ORD200008"/>
    <s v="2025-04-02"/>
    <s v="C26817"/>
    <x v="1"/>
    <n v="2"/>
    <n v="134.28"/>
    <s v="904 Main St"/>
    <x v="3"/>
    <x v="1"/>
    <s v="TRK61042692"/>
    <n v="2"/>
    <s v="None"/>
    <x v="2"/>
    <n v="268.56"/>
  </r>
  <r>
    <s v="ORD200009"/>
    <s v="2023-11-21"/>
    <s v="C31946"/>
    <x v="6"/>
    <n v="4"/>
    <n v="509.38"/>
    <s v="102 Main St"/>
    <x v="2"/>
    <x v="0"/>
    <s v="TRK33478363"/>
    <n v="6"/>
    <s v="SAVE10"/>
    <x v="4"/>
    <n v="2037.52"/>
  </r>
  <r>
    <s v="ORD200010"/>
    <s v="2023-12-29"/>
    <s v="C43443"/>
    <x v="2"/>
    <n v="5"/>
    <n v="625.97"/>
    <s v="333 Main St"/>
    <x v="2"/>
    <x v="2"/>
    <s v="TRK98859248"/>
    <n v="9"/>
    <s v="WINTER15"/>
    <x v="0"/>
    <n v="3129.85"/>
  </r>
  <r>
    <s v="ORD200011"/>
    <s v="2024-02-17"/>
    <s v="C93861"/>
    <x v="0"/>
    <n v="3"/>
    <n v="49.14"/>
    <s v="831 Main St"/>
    <x v="1"/>
    <x v="2"/>
    <s v="TRK48234646"/>
    <n v="7"/>
    <s v="SAVE10"/>
    <x v="2"/>
    <n v="147.41999999999999"/>
  </r>
  <r>
    <s v="ORD200012"/>
    <s v="2024-10-15"/>
    <s v="C38785"/>
    <x v="0"/>
    <n v="2"/>
    <n v="180.5"/>
    <s v="179 Main St"/>
    <x v="0"/>
    <x v="4"/>
    <s v="TRK20419991"/>
    <n v="6"/>
    <s v="FREESHIP"/>
    <x v="1"/>
    <n v="361"/>
  </r>
  <r>
    <s v="ORD200013"/>
    <s v="2023-08-30"/>
    <s v="C88348"/>
    <x v="5"/>
    <n v="3"/>
    <n v="201.49"/>
    <s v="903 Main St"/>
    <x v="2"/>
    <x v="2"/>
    <s v="TRK81913874"/>
    <n v="4"/>
    <s v="FREESHIP"/>
    <x v="3"/>
    <n v="604.47"/>
  </r>
  <r>
    <s v="ORD200014"/>
    <s v="2023-03-27"/>
    <s v="C98474"/>
    <x v="2"/>
    <n v="2"/>
    <n v="393.33"/>
    <s v="980 Main St"/>
    <x v="0"/>
    <x v="4"/>
    <s v="TRK79186539"/>
    <n v="3"/>
    <s v="SAVE10"/>
    <x v="0"/>
    <n v="786.66"/>
  </r>
  <r>
    <s v="ORD200015"/>
    <s v="2023-07-17"/>
    <s v="C39416"/>
    <x v="4"/>
    <n v="1"/>
    <n v="473.96"/>
    <s v="942 Main St"/>
    <x v="4"/>
    <x v="3"/>
    <s v="TRK54930938"/>
    <n v="3"/>
    <s v="None"/>
    <x v="4"/>
    <n v="473.96"/>
  </r>
  <r>
    <s v="ORD200016"/>
    <s v="2023-01-24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s v="2024-03-02"/>
    <s v="C60672"/>
    <x v="2"/>
    <n v="1"/>
    <n v="423.4"/>
    <s v="382 Main St"/>
    <x v="0"/>
    <x v="0"/>
    <s v="TRK11972116"/>
    <n v="3"/>
    <s v="None"/>
    <x v="1"/>
    <n v="423.4"/>
  </r>
  <r>
    <s v="ORD200018"/>
    <s v="2025-03-26"/>
    <s v="C84329"/>
    <x v="6"/>
    <n v="1"/>
    <n v="431.44"/>
    <s v="891 Main St"/>
    <x v="3"/>
    <x v="4"/>
    <s v="TRK65191045"/>
    <n v="3"/>
    <s v="SAVE10"/>
    <x v="3"/>
    <n v="431.44"/>
  </r>
  <r>
    <s v="ORD200019"/>
    <s v="2023-01-23"/>
    <s v="C14552"/>
    <x v="0"/>
    <n v="5"/>
    <n v="224"/>
    <s v="273 Main St"/>
    <x v="4"/>
    <x v="2"/>
    <s v="TRK59101365"/>
    <n v="9"/>
    <s v="SAVE10"/>
    <x v="4"/>
    <n v="1120"/>
  </r>
  <r>
    <s v="ORD200020"/>
    <s v="2023-05-08"/>
    <s v="C54829"/>
    <x v="3"/>
    <n v="5"/>
    <n v="62.51"/>
    <s v="587 Main St"/>
    <x v="4"/>
    <x v="4"/>
    <s v="TRK16718651"/>
    <n v="9"/>
    <s v="WINTER15"/>
    <x v="0"/>
    <n v="312.55"/>
  </r>
  <r>
    <s v="ORD200021"/>
    <s v="2024-11-17"/>
    <s v="C99023"/>
    <x v="0"/>
    <n v="4"/>
    <n v="342.95"/>
    <s v="569 Main St"/>
    <x v="4"/>
    <x v="3"/>
    <s v="TRK52646983"/>
    <n v="6"/>
    <s v="None"/>
    <x v="4"/>
    <n v="1371.8"/>
  </r>
  <r>
    <s v="ORD200022"/>
    <s v="2023-01-29"/>
    <s v="C34416"/>
    <x v="0"/>
    <n v="2"/>
    <n v="49.62"/>
    <s v="633 Main St"/>
    <x v="1"/>
    <x v="4"/>
    <s v="TRK75937350"/>
    <n v="2"/>
    <s v="SAVE10"/>
    <x v="4"/>
    <n v="99.24"/>
  </r>
  <r>
    <s v="ORD200023"/>
    <s v="2025-04-09"/>
    <s v="C42372"/>
    <x v="1"/>
    <n v="4"/>
    <n v="273.25"/>
    <s v="755 Main St"/>
    <x v="0"/>
    <x v="1"/>
    <s v="TRK36168083"/>
    <n v="5"/>
    <s v="FREESHIP"/>
    <x v="1"/>
    <n v="1093"/>
  </r>
  <r>
    <s v="ORD200024"/>
    <s v="2024-10-30"/>
    <s v="C17470"/>
    <x v="5"/>
    <n v="2"/>
    <n v="230.95"/>
    <s v="956 Main St"/>
    <x v="1"/>
    <x v="3"/>
    <s v="TRK28775057"/>
    <n v="3"/>
    <s v="WINTER15"/>
    <x v="1"/>
    <n v="461.9"/>
  </r>
  <r>
    <s v="ORD200025"/>
    <s v="2024-07-24"/>
    <s v="C42577"/>
    <x v="0"/>
    <n v="1"/>
    <n v="399.98"/>
    <s v="709 Main St"/>
    <x v="0"/>
    <x v="3"/>
    <s v="TRK69423327"/>
    <n v="3"/>
    <s v="WINTER15"/>
    <x v="2"/>
    <n v="399.98"/>
  </r>
  <r>
    <s v="ORD200026"/>
    <s v="2024-03-06"/>
    <s v="C21944"/>
    <x v="5"/>
    <n v="5"/>
    <n v="59.55"/>
    <s v="296 Main St"/>
    <x v="1"/>
    <x v="3"/>
    <s v="TRK80276812"/>
    <n v="6"/>
    <s v="None"/>
    <x v="1"/>
    <n v="297.75"/>
  </r>
  <r>
    <s v="ORD200027"/>
    <s v="2024-02-22"/>
    <s v="C97593"/>
    <x v="4"/>
    <n v="1"/>
    <n v="472.74"/>
    <s v="881 Main St"/>
    <x v="1"/>
    <x v="0"/>
    <s v="TRK89117573"/>
    <n v="6"/>
    <s v="WINTER15"/>
    <x v="4"/>
    <n v="472.74"/>
  </r>
  <r>
    <s v="ORD200028"/>
    <s v="2023-11-21"/>
    <s v="C59823"/>
    <x v="1"/>
    <n v="4"/>
    <n v="160.07"/>
    <s v="568 Main St"/>
    <x v="1"/>
    <x v="4"/>
    <s v="TRK65895539"/>
    <n v="5"/>
    <s v="None"/>
    <x v="2"/>
    <n v="640.28"/>
  </r>
  <r>
    <s v="ORD200029"/>
    <s v="2024-09-20"/>
    <s v="C33260"/>
    <x v="6"/>
    <n v="3"/>
    <n v="423.53"/>
    <s v="930 Main St"/>
    <x v="2"/>
    <x v="3"/>
    <s v="TRK59744090"/>
    <n v="6"/>
    <s v="SAVE10"/>
    <x v="1"/>
    <n v="1270.5899999999999"/>
  </r>
  <r>
    <s v="ORD200030"/>
    <s v="2025-03-22"/>
    <s v="C44267"/>
    <x v="0"/>
    <n v="2"/>
    <n v="426.7"/>
    <s v="895 Main St"/>
    <x v="1"/>
    <x v="4"/>
    <s v="TRK54751444"/>
    <n v="5"/>
    <s v="SAVE10"/>
    <x v="1"/>
    <n v="853.4"/>
  </r>
  <r>
    <s v="ORD200031"/>
    <s v="2023-06-30"/>
    <s v="C26445"/>
    <x v="3"/>
    <n v="3"/>
    <n v="500.08"/>
    <s v="996 Main St"/>
    <x v="0"/>
    <x v="2"/>
    <s v="TRK31229981"/>
    <n v="6"/>
    <s v="None"/>
    <x v="3"/>
    <n v="1500.24"/>
  </r>
  <r>
    <s v="ORD200032"/>
    <s v="2023-05-01"/>
    <s v="C12388"/>
    <x v="2"/>
    <n v="5"/>
    <n v="536.72"/>
    <s v="830 Main St"/>
    <x v="4"/>
    <x v="3"/>
    <s v="TRK99261395"/>
    <n v="10"/>
    <s v="None"/>
    <x v="2"/>
    <n v="2683.6"/>
  </r>
  <r>
    <s v="ORD200033"/>
    <s v="2023-06-05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s v="2023-01-07"/>
    <s v="C67195"/>
    <x v="3"/>
    <n v="4"/>
    <n v="576.52"/>
    <s v="926 Main St"/>
    <x v="2"/>
    <x v="4"/>
    <s v="TRK55467915"/>
    <n v="5"/>
    <s v="WINTER15"/>
    <x v="3"/>
    <n v="2306.08"/>
  </r>
  <r>
    <s v="ORD200035"/>
    <s v="2024-12-07"/>
    <s v="C50304"/>
    <x v="0"/>
    <n v="2"/>
    <n v="465.15"/>
    <s v="128 Main St"/>
    <x v="1"/>
    <x v="0"/>
    <s v="TRK46850888"/>
    <n v="2"/>
    <s v="SAVE10"/>
    <x v="3"/>
    <n v="930.3"/>
  </r>
  <r>
    <s v="ORD200036"/>
    <s v="2025-05-08"/>
    <s v="C59337"/>
    <x v="5"/>
    <n v="2"/>
    <n v="534.42999999999995"/>
    <s v="465 Main St"/>
    <x v="0"/>
    <x v="4"/>
    <s v="TRK50961250"/>
    <n v="5"/>
    <s v="None"/>
    <x v="3"/>
    <n v="1068.8599999999999"/>
  </r>
  <r>
    <s v="ORD200037"/>
    <s v="2024-10-14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s v="2024-12-19"/>
    <s v="C15924"/>
    <x v="5"/>
    <n v="1"/>
    <n v="245.89"/>
    <s v="549 Main St"/>
    <x v="0"/>
    <x v="3"/>
    <s v="TRK14835975"/>
    <n v="3"/>
    <s v="SAVE10"/>
    <x v="4"/>
    <n v="245.89"/>
  </r>
  <r>
    <s v="ORD200039"/>
    <s v="2025-02-27"/>
    <s v="C96664"/>
    <x v="4"/>
    <n v="3"/>
    <n v="256.45999999999998"/>
    <s v="666 Main St"/>
    <x v="2"/>
    <x v="3"/>
    <s v="TRK85508960"/>
    <n v="4"/>
    <s v="SAVE10"/>
    <x v="1"/>
    <n v="769.38"/>
  </r>
  <r>
    <s v="ORD200040"/>
    <s v="2023-08-20"/>
    <s v="C84766"/>
    <x v="6"/>
    <n v="2"/>
    <n v="344.02"/>
    <s v="267 Main St"/>
    <x v="1"/>
    <x v="3"/>
    <s v="TRK78967923"/>
    <n v="4"/>
    <s v="FREESHIP"/>
    <x v="0"/>
    <n v="688.04"/>
  </r>
  <r>
    <s v="ORD200041"/>
    <s v="2023-12-05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s v="2024-05-06"/>
    <s v="C28712"/>
    <x v="4"/>
    <n v="2"/>
    <n v="151.66"/>
    <s v="980 Main St"/>
    <x v="4"/>
    <x v="1"/>
    <s v="TRK40772558"/>
    <n v="6"/>
    <s v="None"/>
    <x v="0"/>
    <n v="303.32"/>
  </r>
  <r>
    <s v="ORD200043"/>
    <s v="2023-12-14"/>
    <s v="C60572"/>
    <x v="3"/>
    <n v="3"/>
    <n v="499.21"/>
    <s v="871 Main St"/>
    <x v="1"/>
    <x v="1"/>
    <s v="TRK20351666"/>
    <n v="8"/>
    <s v="None"/>
    <x v="0"/>
    <n v="1497.63"/>
  </r>
  <r>
    <s v="ORD200044"/>
    <s v="2025-04-21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s v="2024-02-10"/>
    <s v="C17388"/>
    <x v="3"/>
    <n v="1"/>
    <n v="317.25"/>
    <s v="157 Main St"/>
    <x v="0"/>
    <x v="2"/>
    <s v="TRK47077395"/>
    <n v="1"/>
    <s v="SAVE10"/>
    <x v="3"/>
    <n v="317.25"/>
  </r>
  <r>
    <s v="ORD200046"/>
    <s v="2024-06-26"/>
    <s v="C43212"/>
    <x v="0"/>
    <n v="4"/>
    <n v="550.14"/>
    <s v="223 Main St"/>
    <x v="0"/>
    <x v="4"/>
    <s v="TRK25100762"/>
    <n v="4"/>
    <s v="FREESHIP"/>
    <x v="0"/>
    <n v="2200.56"/>
  </r>
  <r>
    <s v="ORD200047"/>
    <s v="2023-07-19"/>
    <s v="C38134"/>
    <x v="6"/>
    <n v="2"/>
    <n v="209.94"/>
    <s v="323 Main St"/>
    <x v="2"/>
    <x v="2"/>
    <s v="TRK42450754"/>
    <n v="3"/>
    <s v="FREESHIP"/>
    <x v="2"/>
    <n v="419.88"/>
  </r>
  <r>
    <s v="ORD200048"/>
    <s v="2023-08-26"/>
    <s v="C12408"/>
    <x v="0"/>
    <n v="2"/>
    <n v="80.77"/>
    <s v="464 Main St"/>
    <x v="0"/>
    <x v="0"/>
    <s v="TRK38938858"/>
    <n v="4"/>
    <s v="None"/>
    <x v="4"/>
    <n v="161.54"/>
  </r>
  <r>
    <s v="ORD200049"/>
    <s v="2023-10-07"/>
    <s v="C11985"/>
    <x v="4"/>
    <n v="1"/>
    <n v="30.44"/>
    <s v="633 Main St"/>
    <x v="2"/>
    <x v="0"/>
    <s v="TRK53272402"/>
    <n v="1"/>
    <s v="SAVE10"/>
    <x v="2"/>
    <n v="30.44"/>
  </r>
  <r>
    <s v="ORD200050"/>
    <s v="2023-07-31"/>
    <s v="C96494"/>
    <x v="2"/>
    <n v="1"/>
    <n v="179.22"/>
    <s v="446 Main St"/>
    <x v="1"/>
    <x v="1"/>
    <s v="TRK14675049"/>
    <n v="6"/>
    <s v="FREESHIP"/>
    <x v="0"/>
    <n v="179.22"/>
  </r>
  <r>
    <s v="ORD200051"/>
    <s v="2024-12-30"/>
    <s v="C36778"/>
    <x v="2"/>
    <n v="1"/>
    <n v="388.33"/>
    <s v="434 Main St"/>
    <x v="4"/>
    <x v="2"/>
    <s v="TRK67610289"/>
    <n v="2"/>
    <s v="SAVE10"/>
    <x v="3"/>
    <n v="388.33"/>
  </r>
  <r>
    <s v="ORD200052"/>
    <s v="2024-09-08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s v="2024-05-18"/>
    <s v="C67551"/>
    <x v="1"/>
    <n v="4"/>
    <n v="488.78"/>
    <s v="512 Main St"/>
    <x v="1"/>
    <x v="2"/>
    <s v="TRK94992552"/>
    <n v="5"/>
    <s v="FREESHIP"/>
    <x v="4"/>
    <n v="1955.12"/>
  </r>
  <r>
    <s v="ORD200054"/>
    <s v="2025-03-27"/>
    <s v="C48120"/>
    <x v="3"/>
    <n v="1"/>
    <n v="280.25"/>
    <s v="623 Main St"/>
    <x v="1"/>
    <x v="4"/>
    <s v="TRK11014449"/>
    <n v="5"/>
    <s v="WINTER15"/>
    <x v="2"/>
    <n v="280.25"/>
  </r>
  <r>
    <s v="ORD200055"/>
    <s v="2025-06-24"/>
    <s v="C95984"/>
    <x v="4"/>
    <n v="3"/>
    <n v="344.4"/>
    <s v="565 Main St"/>
    <x v="1"/>
    <x v="1"/>
    <s v="TRK67434829"/>
    <n v="3"/>
    <s v="None"/>
    <x v="3"/>
    <n v="1033.2"/>
  </r>
  <r>
    <s v="ORD200056"/>
    <s v="2023-05-21"/>
    <s v="C54298"/>
    <x v="2"/>
    <n v="3"/>
    <n v="479.21"/>
    <s v="566 Main St"/>
    <x v="4"/>
    <x v="1"/>
    <s v="TRK62902341"/>
    <n v="5"/>
    <s v="WINTER15"/>
    <x v="1"/>
    <n v="1437.63"/>
  </r>
  <r>
    <s v="ORD200057"/>
    <s v="2023-01-22"/>
    <s v="C88036"/>
    <x v="4"/>
    <n v="5"/>
    <n v="314.27"/>
    <s v="842 Main St"/>
    <x v="4"/>
    <x v="2"/>
    <s v="TRK52470128"/>
    <n v="6"/>
    <s v="SAVE10"/>
    <x v="0"/>
    <n v="1571.35"/>
  </r>
  <r>
    <s v="ORD200058"/>
    <s v="2023-01-15"/>
    <s v="C60190"/>
    <x v="1"/>
    <n v="4"/>
    <n v="474.69"/>
    <s v="202 Main St"/>
    <x v="3"/>
    <x v="1"/>
    <s v="TRK70857868"/>
    <n v="6"/>
    <s v="SAVE10"/>
    <x v="4"/>
    <n v="1898.76"/>
  </r>
  <r>
    <s v="ORD200059"/>
    <s v="2024-09-11"/>
    <s v="C97603"/>
    <x v="3"/>
    <n v="4"/>
    <n v="593.27"/>
    <s v="811 Main St"/>
    <x v="1"/>
    <x v="0"/>
    <s v="TRK47055028"/>
    <n v="5"/>
    <s v="None"/>
    <x v="3"/>
    <n v="2373.08"/>
  </r>
  <r>
    <s v="ORD200060"/>
    <s v="2024-08-21"/>
    <s v="C39256"/>
    <x v="6"/>
    <n v="1"/>
    <n v="417.1"/>
    <s v="634 Main St"/>
    <x v="0"/>
    <x v="2"/>
    <s v="TRK23412025"/>
    <n v="3"/>
    <s v="FREESHIP"/>
    <x v="1"/>
    <n v="417.1"/>
  </r>
  <r>
    <s v="ORD200061"/>
    <s v="2024-03-24"/>
    <s v="C61618"/>
    <x v="6"/>
    <n v="4"/>
    <n v="122.2"/>
    <s v="104 Main St"/>
    <x v="4"/>
    <x v="3"/>
    <s v="TRK43458485"/>
    <n v="7"/>
    <s v="FREESHIP"/>
    <x v="3"/>
    <n v="488.8"/>
  </r>
  <r>
    <s v="ORD200062"/>
    <s v="2023-08-22"/>
    <s v="C36497"/>
    <x v="6"/>
    <n v="2"/>
    <n v="43.15"/>
    <s v="691 Main St"/>
    <x v="0"/>
    <x v="4"/>
    <s v="TRK12102911"/>
    <n v="3"/>
    <s v="WINTER15"/>
    <x v="2"/>
    <n v="86.3"/>
  </r>
  <r>
    <s v="ORD200063"/>
    <s v="2025-02-02"/>
    <s v="C96695"/>
    <x v="3"/>
    <n v="1"/>
    <n v="564.86"/>
    <s v="813 Main St"/>
    <x v="0"/>
    <x v="0"/>
    <s v="TRK64283851"/>
    <n v="6"/>
    <s v="WINTER15"/>
    <x v="1"/>
    <n v="564.86"/>
  </r>
  <r>
    <s v="ORD200064"/>
    <s v="2025-06-25"/>
    <s v="C49720"/>
    <x v="4"/>
    <n v="3"/>
    <n v="130.61000000000001"/>
    <s v="752 Main St"/>
    <x v="0"/>
    <x v="1"/>
    <s v="TRK55785217"/>
    <n v="4"/>
    <s v="FREESHIP"/>
    <x v="3"/>
    <n v="391.83"/>
  </r>
  <r>
    <s v="ORD200065"/>
    <s v="2023-12-30"/>
    <s v="C97735"/>
    <x v="0"/>
    <n v="5"/>
    <n v="81.7"/>
    <s v="385 Main St"/>
    <x v="2"/>
    <x v="3"/>
    <s v="TRK13743703"/>
    <n v="6"/>
    <s v="None"/>
    <x v="0"/>
    <n v="408.5"/>
  </r>
  <r>
    <s v="ORD200066"/>
    <s v="2024-11-15"/>
    <s v="C18104"/>
    <x v="3"/>
    <n v="5"/>
    <n v="127.18"/>
    <s v="715 Main St"/>
    <x v="4"/>
    <x v="1"/>
    <s v="TRK15488568"/>
    <n v="9"/>
    <s v="SAVE10"/>
    <x v="1"/>
    <n v="635.9"/>
  </r>
  <r>
    <s v="ORD200067"/>
    <s v="2024-12-09"/>
    <s v="C25587"/>
    <x v="4"/>
    <n v="4"/>
    <n v="12.1"/>
    <s v="440 Main St"/>
    <x v="0"/>
    <x v="1"/>
    <s v="TRK55105323"/>
    <n v="8"/>
    <s v="None"/>
    <x v="4"/>
    <n v="48.4"/>
  </r>
  <r>
    <s v="ORD200068"/>
    <s v="2023-12-11"/>
    <s v="C41598"/>
    <x v="3"/>
    <n v="3"/>
    <n v="490.92"/>
    <s v="709 Main St"/>
    <x v="2"/>
    <x v="4"/>
    <s v="TRK81665940"/>
    <n v="5"/>
    <s v="FREESHIP"/>
    <x v="2"/>
    <n v="1472.76"/>
  </r>
  <r>
    <s v="ORD200069"/>
    <s v="2023-05-11"/>
    <s v="C43338"/>
    <x v="0"/>
    <n v="3"/>
    <n v="478.65"/>
    <s v="552 Main St"/>
    <x v="1"/>
    <x v="0"/>
    <s v="TRK35241775"/>
    <n v="4"/>
    <s v="None"/>
    <x v="1"/>
    <n v="1435.95"/>
  </r>
  <r>
    <s v="ORD200070"/>
    <s v="2023-05-26"/>
    <s v="C25123"/>
    <x v="6"/>
    <n v="1"/>
    <n v="629.21"/>
    <s v="384 Main St"/>
    <x v="3"/>
    <x v="4"/>
    <s v="TRK27812282"/>
    <n v="2"/>
    <s v="FREESHIP"/>
    <x v="0"/>
    <n v="629.21"/>
  </r>
  <r>
    <s v="ORD200071"/>
    <s v="2025-06-10"/>
    <s v="C37454"/>
    <x v="0"/>
    <n v="3"/>
    <n v="434.45"/>
    <s v="923 Main St"/>
    <x v="2"/>
    <x v="4"/>
    <s v="TRK28252730"/>
    <n v="4"/>
    <s v="None"/>
    <x v="1"/>
    <n v="1303.3499999999999"/>
  </r>
  <r>
    <s v="ORD200072"/>
    <s v="2024-12-22"/>
    <s v="C19451"/>
    <x v="2"/>
    <n v="4"/>
    <n v="589.44000000000005"/>
    <s v="942 Main St"/>
    <x v="3"/>
    <x v="2"/>
    <s v="TRK87787793"/>
    <n v="5"/>
    <s v="None"/>
    <x v="3"/>
    <n v="2357.7600000000002"/>
  </r>
  <r>
    <s v="ORD200073"/>
    <s v="2023-05-03"/>
    <s v="C17269"/>
    <x v="0"/>
    <n v="4"/>
    <n v="433.45"/>
    <s v="129 Main St"/>
    <x v="3"/>
    <x v="1"/>
    <s v="TRK79608389"/>
    <n v="4"/>
    <s v="None"/>
    <x v="3"/>
    <n v="1733.8"/>
  </r>
  <r>
    <s v="ORD200074"/>
    <s v="2023-06-24"/>
    <s v="C25382"/>
    <x v="1"/>
    <n v="5"/>
    <n v="90.87"/>
    <s v="622 Main St"/>
    <x v="4"/>
    <x v="4"/>
    <s v="TRK64691287"/>
    <n v="5"/>
    <s v="None"/>
    <x v="0"/>
    <n v="454.35"/>
  </r>
  <r>
    <s v="ORD200075"/>
    <s v="2023-09-26"/>
    <s v="C80651"/>
    <x v="2"/>
    <n v="3"/>
    <n v="398.17"/>
    <s v="917 Main St"/>
    <x v="0"/>
    <x v="3"/>
    <s v="TRK14846720"/>
    <n v="5"/>
    <s v="SAVE10"/>
    <x v="2"/>
    <n v="1194.51"/>
  </r>
  <r>
    <s v="ORD200076"/>
    <s v="2024-03-31"/>
    <s v="C58638"/>
    <x v="5"/>
    <n v="4"/>
    <n v="382.88"/>
    <s v="239 Main St"/>
    <x v="4"/>
    <x v="1"/>
    <s v="TRK38224871"/>
    <n v="6"/>
    <s v="WINTER15"/>
    <x v="2"/>
    <n v="1531.52"/>
  </r>
  <r>
    <s v="ORD200077"/>
    <s v="2024-05-24"/>
    <s v="C50121"/>
    <x v="1"/>
    <n v="1"/>
    <n v="583.17999999999995"/>
    <s v="348 Main St"/>
    <x v="2"/>
    <x v="2"/>
    <s v="TRK79810059"/>
    <n v="5"/>
    <s v="None"/>
    <x v="4"/>
    <n v="583.17999999999995"/>
  </r>
  <r>
    <s v="ORD200078"/>
    <s v="2024-08-06"/>
    <s v="C32029"/>
    <x v="4"/>
    <n v="4"/>
    <n v="175.36"/>
    <s v="146 Main St"/>
    <x v="0"/>
    <x v="3"/>
    <s v="TRK68535532"/>
    <n v="4"/>
    <s v="FREESHIP"/>
    <x v="0"/>
    <n v="701.44"/>
  </r>
  <r>
    <s v="ORD200079"/>
    <s v="2025-03-10"/>
    <s v="C76700"/>
    <x v="2"/>
    <n v="2"/>
    <n v="311.91000000000003"/>
    <s v="103 Main St"/>
    <x v="1"/>
    <x v="0"/>
    <s v="TRK13036341"/>
    <n v="2"/>
    <s v="None"/>
    <x v="3"/>
    <n v="623.82000000000005"/>
  </r>
  <r>
    <s v="ORD200080"/>
    <s v="2023-06-27"/>
    <s v="C29041"/>
    <x v="1"/>
    <n v="3"/>
    <n v="589.55999999999995"/>
    <s v="591 Main St"/>
    <x v="1"/>
    <x v="2"/>
    <s v="TRK28840655"/>
    <n v="6"/>
    <s v="None"/>
    <x v="3"/>
    <n v="1768.68"/>
  </r>
  <r>
    <s v="ORD200081"/>
    <s v="2023-06-08"/>
    <s v="C29314"/>
    <x v="0"/>
    <n v="2"/>
    <n v="394.3"/>
    <s v="496 Main St"/>
    <x v="4"/>
    <x v="0"/>
    <s v="TRK59876213"/>
    <n v="6"/>
    <s v="FREESHIP"/>
    <x v="2"/>
    <n v="788.6"/>
  </r>
  <r>
    <s v="ORD200082"/>
    <s v="2024-01-05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s v="2023-08-22"/>
    <s v="C15681"/>
    <x v="5"/>
    <n v="4"/>
    <n v="540.41"/>
    <s v="989 Main St"/>
    <x v="2"/>
    <x v="1"/>
    <s v="TRK75112172"/>
    <n v="6"/>
    <s v="None"/>
    <x v="1"/>
    <n v="2161.64"/>
  </r>
  <r>
    <s v="ORD200084"/>
    <s v="2023-08-28"/>
    <s v="C64160"/>
    <x v="0"/>
    <n v="2"/>
    <n v="165.49"/>
    <s v="967 Main St"/>
    <x v="1"/>
    <x v="0"/>
    <s v="TRK34121529"/>
    <n v="4"/>
    <s v="WINTER15"/>
    <x v="0"/>
    <n v="330.98"/>
  </r>
  <r>
    <s v="ORD200085"/>
    <s v="2024-09-09"/>
    <s v="C14553"/>
    <x v="2"/>
    <n v="3"/>
    <n v="146.72999999999999"/>
    <s v="768 Main St"/>
    <x v="4"/>
    <x v="3"/>
    <s v="TRK93538334"/>
    <n v="8"/>
    <s v="FREESHIP"/>
    <x v="2"/>
    <n v="440.19"/>
  </r>
  <r>
    <s v="ORD200086"/>
    <s v="2024-06-19"/>
    <s v="C88205"/>
    <x v="4"/>
    <n v="5"/>
    <n v="643.03"/>
    <s v="447 Main St"/>
    <x v="1"/>
    <x v="1"/>
    <s v="TRK93504166"/>
    <n v="5"/>
    <s v="FREESHIP"/>
    <x v="1"/>
    <n v="3215.15"/>
  </r>
  <r>
    <s v="ORD200087"/>
    <s v="2024-10-10"/>
    <s v="C91245"/>
    <x v="2"/>
    <n v="3"/>
    <n v="225.11"/>
    <s v="915 Main St"/>
    <x v="4"/>
    <x v="0"/>
    <s v="TRK46976391"/>
    <n v="4"/>
    <s v="SAVE10"/>
    <x v="3"/>
    <n v="675.33"/>
  </r>
  <r>
    <s v="ORD200088"/>
    <s v="2025-06-05"/>
    <s v="C75439"/>
    <x v="6"/>
    <n v="3"/>
    <n v="114.81"/>
    <s v="318 Main St"/>
    <x v="3"/>
    <x v="1"/>
    <s v="TRK19831653"/>
    <n v="7"/>
    <s v="None"/>
    <x v="4"/>
    <n v="344.43"/>
  </r>
  <r>
    <s v="ORD200089"/>
    <s v="2025-02-25"/>
    <s v="C17181"/>
    <x v="4"/>
    <n v="5"/>
    <n v="455.33"/>
    <s v="291 Main St"/>
    <x v="2"/>
    <x v="1"/>
    <s v="TRK78912978"/>
    <n v="8"/>
    <s v="FREESHIP"/>
    <x v="4"/>
    <n v="2276.65"/>
  </r>
  <r>
    <s v="ORD200090"/>
    <s v="2023-09-18"/>
    <s v="C36540"/>
    <x v="3"/>
    <n v="4"/>
    <n v="182.08"/>
    <s v="611 Main St"/>
    <x v="3"/>
    <x v="3"/>
    <s v="TRK35828122"/>
    <n v="4"/>
    <s v="SAVE10"/>
    <x v="2"/>
    <n v="728.32"/>
  </r>
  <r>
    <s v="ORD200091"/>
    <s v="2023-03-15"/>
    <s v="C98216"/>
    <x v="5"/>
    <n v="5"/>
    <n v="492.75"/>
    <s v="196 Main St"/>
    <x v="4"/>
    <x v="0"/>
    <s v="TRK40986666"/>
    <n v="6"/>
    <s v="WINTER15"/>
    <x v="1"/>
    <n v="2463.75"/>
  </r>
  <r>
    <s v="ORD200092"/>
    <s v="2024-06-10"/>
    <s v="C29568"/>
    <x v="4"/>
    <n v="4"/>
    <n v="48.61"/>
    <s v="203 Main St"/>
    <x v="1"/>
    <x v="0"/>
    <s v="TRK46531075"/>
    <n v="7"/>
    <s v="FREESHIP"/>
    <x v="3"/>
    <n v="194.44"/>
  </r>
  <r>
    <s v="ORD200093"/>
    <s v="2023-01-14"/>
    <s v="C97262"/>
    <x v="6"/>
    <n v="4"/>
    <n v="431.01"/>
    <s v="837 Main St"/>
    <x v="2"/>
    <x v="2"/>
    <s v="TRK65990229"/>
    <n v="7"/>
    <s v="None"/>
    <x v="1"/>
    <n v="1724.04"/>
  </r>
  <r>
    <s v="ORD200094"/>
    <s v="2023-02-1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s v="2023-03-24"/>
    <s v="C76761"/>
    <x v="4"/>
    <n v="4"/>
    <n v="117.51"/>
    <s v="839 Main St"/>
    <x v="0"/>
    <x v="2"/>
    <s v="TRK60179774"/>
    <n v="7"/>
    <s v="None"/>
    <x v="1"/>
    <n v="470.04"/>
  </r>
  <r>
    <s v="ORD200096"/>
    <s v="2024-06-01"/>
    <s v="C93007"/>
    <x v="1"/>
    <n v="2"/>
    <n v="232.83"/>
    <s v="103 Main St"/>
    <x v="3"/>
    <x v="3"/>
    <s v="TRK85696091"/>
    <n v="7"/>
    <s v="None"/>
    <x v="0"/>
    <n v="465.66"/>
  </r>
  <r>
    <s v="ORD200097"/>
    <s v="2025-01-21"/>
    <s v="C15624"/>
    <x v="2"/>
    <n v="5"/>
    <n v="619.52"/>
    <s v="922 Main St"/>
    <x v="0"/>
    <x v="4"/>
    <s v="TRK40621141"/>
    <n v="9"/>
    <s v="None"/>
    <x v="2"/>
    <n v="3097.6"/>
  </r>
  <r>
    <s v="ORD200098"/>
    <s v="2023-01-14"/>
    <s v="C70921"/>
    <x v="4"/>
    <n v="2"/>
    <n v="228.54"/>
    <s v="533 Main St"/>
    <x v="0"/>
    <x v="4"/>
    <s v="TRK54983109"/>
    <n v="3"/>
    <s v="None"/>
    <x v="2"/>
    <n v="457.08"/>
  </r>
  <r>
    <s v="ORD200099"/>
    <s v="2025-04-12"/>
    <s v="C30477"/>
    <x v="4"/>
    <n v="1"/>
    <n v="201.58"/>
    <s v="717 Main St"/>
    <x v="0"/>
    <x v="1"/>
    <s v="TRK51829648"/>
    <n v="2"/>
    <s v="WINTER15"/>
    <x v="2"/>
    <n v="201.58"/>
  </r>
  <r>
    <s v="ORD200100"/>
    <s v="2023-02-17"/>
    <s v="C74866"/>
    <x v="1"/>
    <n v="3"/>
    <n v="664.79"/>
    <s v="743 Main St"/>
    <x v="1"/>
    <x v="3"/>
    <s v="TRK53783265"/>
    <n v="6"/>
    <s v="None"/>
    <x v="3"/>
    <n v="1994.37"/>
  </r>
  <r>
    <s v="ORD200101"/>
    <s v="2023-11-25"/>
    <s v="C15283"/>
    <x v="4"/>
    <n v="1"/>
    <n v="381.02"/>
    <s v="152 Main St"/>
    <x v="4"/>
    <x v="0"/>
    <s v="TRK19286291"/>
    <n v="6"/>
    <s v="None"/>
    <x v="4"/>
    <n v="381.02"/>
  </r>
  <r>
    <s v="ORD200102"/>
    <s v="2023-03-08"/>
    <s v="C18037"/>
    <x v="5"/>
    <n v="2"/>
    <n v="70.34"/>
    <s v="944 Main St"/>
    <x v="3"/>
    <x v="1"/>
    <s v="TRK47362236"/>
    <n v="3"/>
    <s v="FREESHIP"/>
    <x v="2"/>
    <n v="140.68"/>
  </r>
  <r>
    <s v="ORD200103"/>
    <s v="2025-01-25"/>
    <s v="C62656"/>
    <x v="1"/>
    <n v="4"/>
    <n v="218.43"/>
    <s v="514 Main St"/>
    <x v="2"/>
    <x v="1"/>
    <s v="TRK86296459"/>
    <n v="9"/>
    <s v="SAVE10"/>
    <x v="2"/>
    <n v="873.72"/>
  </r>
  <r>
    <s v="ORD200104"/>
    <s v="2024-07-30"/>
    <s v="C65744"/>
    <x v="1"/>
    <n v="1"/>
    <n v="582.04"/>
    <s v="647 Main St"/>
    <x v="3"/>
    <x v="3"/>
    <s v="TRK39906058"/>
    <n v="1"/>
    <s v="FREESHIP"/>
    <x v="2"/>
    <n v="582.04"/>
  </r>
  <r>
    <s v="ORD200105"/>
    <s v="2024-10-24"/>
    <s v="C72290"/>
    <x v="4"/>
    <n v="3"/>
    <n v="185.4"/>
    <s v="810 Main St"/>
    <x v="3"/>
    <x v="1"/>
    <s v="TRK68792129"/>
    <n v="7"/>
    <s v="None"/>
    <x v="3"/>
    <n v="556.20000000000005"/>
  </r>
  <r>
    <s v="ORD200106"/>
    <s v="2023-09-08"/>
    <s v="C73514"/>
    <x v="6"/>
    <n v="3"/>
    <n v="465.05"/>
    <s v="126 Main St"/>
    <x v="2"/>
    <x v="1"/>
    <s v="TRK96777924"/>
    <n v="3"/>
    <s v="SAVE10"/>
    <x v="2"/>
    <n v="1395.15"/>
  </r>
  <r>
    <s v="ORD200107"/>
    <s v="2023-03-27"/>
    <s v="C16775"/>
    <x v="4"/>
    <n v="5"/>
    <n v="670.75"/>
    <s v="848 Main St"/>
    <x v="3"/>
    <x v="0"/>
    <s v="TRK34392124"/>
    <n v="8"/>
    <s v="FREESHIP"/>
    <x v="0"/>
    <n v="3353.75"/>
  </r>
  <r>
    <s v="ORD200108"/>
    <s v="2024-12-28"/>
    <s v="C33099"/>
    <x v="5"/>
    <n v="5"/>
    <n v="48.38"/>
    <s v="522 Main St"/>
    <x v="3"/>
    <x v="3"/>
    <s v="TRK28522330"/>
    <n v="9"/>
    <s v="WINTER15"/>
    <x v="2"/>
    <n v="241.9"/>
  </r>
  <r>
    <s v="ORD200109"/>
    <s v="2023-09-17"/>
    <s v="C51157"/>
    <x v="6"/>
    <n v="3"/>
    <n v="592.87"/>
    <s v="131 Main St"/>
    <x v="3"/>
    <x v="0"/>
    <s v="TRK18674578"/>
    <n v="3"/>
    <s v="FREESHIP"/>
    <x v="1"/>
    <n v="1778.61"/>
  </r>
  <r>
    <s v="ORD200110"/>
    <s v="2024-04-21"/>
    <s v="C74562"/>
    <x v="2"/>
    <n v="1"/>
    <n v="220.77"/>
    <s v="388 Main St"/>
    <x v="3"/>
    <x v="4"/>
    <s v="TRK32062079"/>
    <n v="5"/>
    <s v="FREESHIP"/>
    <x v="0"/>
    <n v="220.77"/>
  </r>
  <r>
    <s v="ORD200111"/>
    <s v="2025-05-07"/>
    <s v="C95271"/>
    <x v="6"/>
    <n v="3"/>
    <n v="309.22000000000003"/>
    <s v="620 Main St"/>
    <x v="1"/>
    <x v="1"/>
    <s v="TRK74904969"/>
    <n v="7"/>
    <s v="FREESHIP"/>
    <x v="4"/>
    <n v="927.66"/>
  </r>
  <r>
    <s v="ORD200112"/>
    <s v="2023-01-01"/>
    <s v="C81366"/>
    <x v="0"/>
    <n v="1"/>
    <n v="410.6"/>
    <s v="423 Main St"/>
    <x v="1"/>
    <x v="1"/>
    <s v="TRK17062206"/>
    <n v="2"/>
    <s v="WINTER15"/>
    <x v="1"/>
    <n v="410.6"/>
  </r>
  <r>
    <s v="ORD200113"/>
    <s v="2024-01-17"/>
    <s v="C65905"/>
    <x v="5"/>
    <n v="5"/>
    <n v="190.08"/>
    <s v="605 Main St"/>
    <x v="4"/>
    <x v="0"/>
    <s v="TRK73954365"/>
    <n v="9"/>
    <s v="FREESHIP"/>
    <x v="0"/>
    <n v="950.4"/>
  </r>
  <r>
    <s v="ORD200114"/>
    <s v="2025-01-27"/>
    <s v="C77272"/>
    <x v="0"/>
    <n v="5"/>
    <n v="498.48"/>
    <s v="115 Main St"/>
    <x v="1"/>
    <x v="4"/>
    <s v="TRK29708128"/>
    <n v="8"/>
    <s v="SAVE10"/>
    <x v="4"/>
    <n v="2492.4"/>
  </r>
  <r>
    <s v="ORD200115"/>
    <s v="2023-11-27"/>
    <s v="C32580"/>
    <x v="1"/>
    <n v="5"/>
    <n v="374.99"/>
    <s v="122 Main St"/>
    <x v="1"/>
    <x v="0"/>
    <s v="TRK23670394"/>
    <n v="9"/>
    <s v="SAVE10"/>
    <x v="3"/>
    <n v="1874.95"/>
  </r>
  <r>
    <s v="ORD200116"/>
    <s v="2023-03-19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s v="2023-03-08"/>
    <s v="C49187"/>
    <x v="2"/>
    <n v="1"/>
    <n v="535.5"/>
    <s v="593 Main St"/>
    <x v="3"/>
    <x v="1"/>
    <s v="TRK81888598"/>
    <n v="5"/>
    <s v="WINTER15"/>
    <x v="1"/>
    <n v="535.5"/>
  </r>
  <r>
    <s v="ORD200118"/>
    <s v="2023-10-09"/>
    <s v="C27898"/>
    <x v="4"/>
    <n v="5"/>
    <n v="502.71"/>
    <s v="807 Main St"/>
    <x v="3"/>
    <x v="0"/>
    <s v="TRK61957665"/>
    <n v="7"/>
    <s v="FREESHIP"/>
    <x v="4"/>
    <n v="2513.5500000000002"/>
  </r>
  <r>
    <s v="ORD200119"/>
    <s v="2025-06-11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s v="2023-04-11"/>
    <s v="C58108"/>
    <x v="2"/>
    <n v="4"/>
    <n v="629.34"/>
    <s v="986 Main St"/>
    <x v="4"/>
    <x v="1"/>
    <s v="TRK66218053"/>
    <n v="4"/>
    <s v="WINTER15"/>
    <x v="0"/>
    <n v="2517.36"/>
  </r>
  <r>
    <s v="ORD200121"/>
    <s v="2023-11-30"/>
    <s v="C89822"/>
    <x v="6"/>
    <n v="1"/>
    <n v="410.78"/>
    <s v="673 Main St"/>
    <x v="4"/>
    <x v="1"/>
    <s v="TRK24138598"/>
    <n v="1"/>
    <s v="FREESHIP"/>
    <x v="0"/>
    <n v="410.78"/>
  </r>
  <r>
    <s v="ORD200122"/>
    <s v="2024-04-15"/>
    <s v="C96787"/>
    <x v="5"/>
    <n v="2"/>
    <n v="533.02"/>
    <s v="588 Main St"/>
    <x v="3"/>
    <x v="0"/>
    <s v="TRK30422853"/>
    <n v="2"/>
    <s v="None"/>
    <x v="3"/>
    <n v="1066.04"/>
  </r>
  <r>
    <s v="ORD200123"/>
    <s v="2023-07-06"/>
    <s v="C86064"/>
    <x v="6"/>
    <n v="3"/>
    <n v="278.04000000000002"/>
    <s v="727 Main St"/>
    <x v="1"/>
    <x v="3"/>
    <s v="TRK62182901"/>
    <n v="5"/>
    <s v="None"/>
    <x v="0"/>
    <n v="834.12"/>
  </r>
  <r>
    <s v="ORD200124"/>
    <s v="2024-07-28"/>
    <s v="C97148"/>
    <x v="4"/>
    <n v="4"/>
    <n v="283.79000000000002"/>
    <s v="563 Main St"/>
    <x v="1"/>
    <x v="4"/>
    <s v="TRK85321126"/>
    <n v="8"/>
    <s v="None"/>
    <x v="4"/>
    <n v="1135.1600000000001"/>
  </r>
  <r>
    <s v="ORD200125"/>
    <s v="2024-11-06"/>
    <s v="C91099"/>
    <x v="1"/>
    <n v="2"/>
    <n v="512.65"/>
    <s v="758 Main St"/>
    <x v="2"/>
    <x v="0"/>
    <s v="TRK81846174"/>
    <n v="5"/>
    <s v="SAVE10"/>
    <x v="2"/>
    <n v="1025.3"/>
  </r>
  <r>
    <s v="ORD200126"/>
    <s v="2025-05-03"/>
    <s v="C55606"/>
    <x v="6"/>
    <n v="4"/>
    <n v="275.5"/>
    <s v="353 Main St"/>
    <x v="3"/>
    <x v="0"/>
    <s v="TRK68250319"/>
    <n v="8"/>
    <s v="FREESHIP"/>
    <x v="4"/>
    <n v="1102"/>
  </r>
  <r>
    <s v="ORD200127"/>
    <s v="2023-08-10"/>
    <s v="C71486"/>
    <x v="6"/>
    <n v="3"/>
    <n v="469.32"/>
    <s v="365 Main St"/>
    <x v="0"/>
    <x v="0"/>
    <s v="TRK73929833"/>
    <n v="3"/>
    <s v="None"/>
    <x v="4"/>
    <n v="1407.96"/>
  </r>
  <r>
    <s v="ORD200128"/>
    <s v="2023-02-17"/>
    <s v="C86408"/>
    <x v="2"/>
    <n v="4"/>
    <n v="21.07"/>
    <s v="244 Main St"/>
    <x v="3"/>
    <x v="3"/>
    <s v="TRK41432648"/>
    <n v="4"/>
    <s v="FREESHIP"/>
    <x v="4"/>
    <n v="84.28"/>
  </r>
  <r>
    <s v="ORD200129"/>
    <s v="2023-10-27"/>
    <s v="C52751"/>
    <x v="5"/>
    <n v="4"/>
    <n v="263.93"/>
    <s v="427 Main St"/>
    <x v="0"/>
    <x v="0"/>
    <s v="TRK72481234"/>
    <n v="4"/>
    <s v="FREESHIP"/>
    <x v="3"/>
    <n v="1055.72"/>
  </r>
  <r>
    <s v="ORD200130"/>
    <s v="2025-01-22"/>
    <s v="C29059"/>
    <x v="6"/>
    <n v="3"/>
    <n v="501.3"/>
    <s v="513 Main St"/>
    <x v="1"/>
    <x v="1"/>
    <s v="TRK88360704"/>
    <n v="3"/>
    <s v="WINTER15"/>
    <x v="3"/>
    <n v="1503.9"/>
  </r>
  <r>
    <s v="ORD200131"/>
    <s v="2023-01-08"/>
    <s v="C72862"/>
    <x v="2"/>
    <n v="1"/>
    <n v="84.8"/>
    <s v="606 Main St"/>
    <x v="3"/>
    <x v="4"/>
    <s v="TRK51648833"/>
    <n v="5"/>
    <s v="None"/>
    <x v="0"/>
    <n v="84.8"/>
  </r>
  <r>
    <s v="ORD200132"/>
    <s v="2023-03-28"/>
    <s v="C96257"/>
    <x v="2"/>
    <n v="4"/>
    <n v="450.75"/>
    <s v="583 Main St"/>
    <x v="2"/>
    <x v="0"/>
    <s v="TRK13137948"/>
    <n v="6"/>
    <s v="WINTER15"/>
    <x v="2"/>
    <n v="1803"/>
  </r>
  <r>
    <s v="ORD200133"/>
    <s v="2025-06-20"/>
    <s v="C87432"/>
    <x v="3"/>
    <n v="4"/>
    <n v="302.05"/>
    <s v="636 Main St"/>
    <x v="0"/>
    <x v="1"/>
    <s v="TRK68969625"/>
    <n v="6"/>
    <s v="SAVE10"/>
    <x v="4"/>
    <n v="1208.2"/>
  </r>
  <r>
    <s v="ORD200134"/>
    <s v="2025-06-23"/>
    <s v="C16253"/>
    <x v="5"/>
    <n v="2"/>
    <n v="199.7"/>
    <s v="583 Main St"/>
    <x v="4"/>
    <x v="4"/>
    <s v="TRK17354894"/>
    <n v="4"/>
    <s v="None"/>
    <x v="2"/>
    <n v="399.4"/>
  </r>
  <r>
    <s v="ORD200135"/>
    <s v="2023-08-04"/>
    <s v="C79909"/>
    <x v="4"/>
    <n v="2"/>
    <n v="68.81"/>
    <s v="642 Main St"/>
    <x v="3"/>
    <x v="0"/>
    <s v="TRK86742257"/>
    <n v="5"/>
    <s v="SAVE10"/>
    <x v="1"/>
    <n v="137.62"/>
  </r>
  <r>
    <s v="ORD200136"/>
    <s v="2024-04-27"/>
    <s v="C73370"/>
    <x v="5"/>
    <n v="1"/>
    <n v="44.35"/>
    <s v="595 Main St"/>
    <x v="3"/>
    <x v="1"/>
    <s v="TRK67820278"/>
    <n v="1"/>
    <s v="SAVE10"/>
    <x v="0"/>
    <n v="44.35"/>
  </r>
  <r>
    <s v="ORD200137"/>
    <s v="2024-11-26"/>
    <s v="C50682"/>
    <x v="0"/>
    <n v="2"/>
    <n v="250.98"/>
    <s v="598 Main St"/>
    <x v="2"/>
    <x v="3"/>
    <s v="TRK12242337"/>
    <n v="5"/>
    <s v="None"/>
    <x v="4"/>
    <n v="501.96"/>
  </r>
  <r>
    <s v="ORD200138"/>
    <s v="2023-12-21"/>
    <s v="C21905"/>
    <x v="2"/>
    <n v="1"/>
    <n v="298.06"/>
    <s v="478 Main St"/>
    <x v="0"/>
    <x v="4"/>
    <s v="TRK31863841"/>
    <n v="3"/>
    <s v="WINTER15"/>
    <x v="4"/>
    <n v="298.06"/>
  </r>
  <r>
    <s v="ORD200139"/>
    <s v="2023-04-10"/>
    <s v="C61440"/>
    <x v="1"/>
    <n v="1"/>
    <n v="583.9"/>
    <s v="714 Main St"/>
    <x v="4"/>
    <x v="2"/>
    <s v="TRK33114521"/>
    <n v="1"/>
    <s v="None"/>
    <x v="2"/>
    <n v="583.9"/>
  </r>
  <r>
    <s v="ORD200140"/>
    <s v="2025-05-31"/>
    <s v="C33110"/>
    <x v="3"/>
    <n v="3"/>
    <n v="528.14"/>
    <s v="388 Main St"/>
    <x v="1"/>
    <x v="3"/>
    <s v="TRK38624225"/>
    <n v="3"/>
    <s v="FREESHIP"/>
    <x v="2"/>
    <n v="1584.42"/>
  </r>
  <r>
    <s v="ORD200141"/>
    <s v="2023-11-18"/>
    <s v="C80004"/>
    <x v="4"/>
    <n v="3"/>
    <n v="684.14"/>
    <s v="151 Main St"/>
    <x v="4"/>
    <x v="1"/>
    <s v="TRK66230753"/>
    <n v="3"/>
    <s v="WINTER15"/>
    <x v="0"/>
    <n v="2052.42"/>
  </r>
  <r>
    <s v="ORD200142"/>
    <s v="2023-09-06"/>
    <s v="C86374"/>
    <x v="6"/>
    <n v="5"/>
    <n v="272.77"/>
    <s v="573 Main St"/>
    <x v="4"/>
    <x v="4"/>
    <s v="TRK79451491"/>
    <n v="7"/>
    <s v="WINTER15"/>
    <x v="2"/>
    <n v="1363.85"/>
  </r>
  <r>
    <s v="ORD200143"/>
    <s v="2024-06-13"/>
    <s v="C66521"/>
    <x v="3"/>
    <n v="4"/>
    <n v="400.07"/>
    <s v="933 Main St"/>
    <x v="1"/>
    <x v="0"/>
    <s v="TRK34654244"/>
    <n v="5"/>
    <s v="None"/>
    <x v="1"/>
    <n v="1600.28"/>
  </r>
  <r>
    <s v="ORD200144"/>
    <s v="2023-08-04"/>
    <s v="C63365"/>
    <x v="6"/>
    <n v="5"/>
    <n v="219.78"/>
    <s v="895 Main St"/>
    <x v="2"/>
    <x v="4"/>
    <s v="TRK80100887"/>
    <n v="8"/>
    <s v="None"/>
    <x v="3"/>
    <n v="1098.9000000000001"/>
  </r>
  <r>
    <s v="ORD200145"/>
    <s v="2024-03-02"/>
    <s v="C85929"/>
    <x v="4"/>
    <n v="3"/>
    <n v="146.91"/>
    <s v="798 Main St"/>
    <x v="2"/>
    <x v="3"/>
    <s v="TRK29318610"/>
    <n v="6"/>
    <s v="FREESHIP"/>
    <x v="4"/>
    <n v="440.73"/>
  </r>
  <r>
    <s v="ORD200146"/>
    <s v="2025-04-30"/>
    <s v="C84645"/>
    <x v="2"/>
    <n v="2"/>
    <n v="411.49"/>
    <s v="404 Main St"/>
    <x v="2"/>
    <x v="2"/>
    <s v="TRK68893369"/>
    <n v="4"/>
    <s v="None"/>
    <x v="0"/>
    <n v="822.98"/>
  </r>
  <r>
    <s v="ORD200147"/>
    <s v="2025-05-06"/>
    <s v="C46316"/>
    <x v="5"/>
    <n v="2"/>
    <n v="465.18"/>
    <s v="893 Main St"/>
    <x v="2"/>
    <x v="1"/>
    <s v="TRK16196000"/>
    <n v="2"/>
    <s v="SAVE10"/>
    <x v="4"/>
    <n v="930.36"/>
  </r>
  <r>
    <s v="ORD200148"/>
    <s v="2024-12-15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s v="2023-12-27"/>
    <s v="C39671"/>
    <x v="5"/>
    <n v="1"/>
    <n v="217.56"/>
    <s v="174 Main St"/>
    <x v="0"/>
    <x v="3"/>
    <s v="TRK47153818"/>
    <n v="3"/>
    <s v="None"/>
    <x v="3"/>
    <n v="217.56"/>
  </r>
  <r>
    <s v="ORD200150"/>
    <s v="2023-12-13"/>
    <s v="C25503"/>
    <x v="1"/>
    <n v="2"/>
    <n v="105.57"/>
    <s v="981 Main St"/>
    <x v="0"/>
    <x v="2"/>
    <s v="TRK29878837"/>
    <n v="5"/>
    <s v="WINTER15"/>
    <x v="4"/>
    <n v="211.14"/>
  </r>
  <r>
    <s v="ORD200151"/>
    <s v="2023-12-01"/>
    <s v="C32960"/>
    <x v="4"/>
    <n v="5"/>
    <n v="444.76"/>
    <s v="947 Main St"/>
    <x v="0"/>
    <x v="2"/>
    <s v="TRK91226500"/>
    <n v="7"/>
    <s v="None"/>
    <x v="2"/>
    <n v="2223.8000000000002"/>
  </r>
  <r>
    <s v="ORD200152"/>
    <s v="2025-01-02"/>
    <s v="C77736"/>
    <x v="3"/>
    <n v="2"/>
    <n v="399.04"/>
    <s v="659 Main St"/>
    <x v="4"/>
    <x v="1"/>
    <s v="TRK90329250"/>
    <n v="3"/>
    <s v="FREESHIP"/>
    <x v="1"/>
    <n v="798.08"/>
  </r>
  <r>
    <s v="ORD200153"/>
    <s v="2024-12-18"/>
    <s v="C71570"/>
    <x v="3"/>
    <n v="4"/>
    <n v="534.48"/>
    <s v="437 Main St"/>
    <x v="1"/>
    <x v="2"/>
    <s v="TRK95992269"/>
    <n v="9"/>
    <s v="WINTER15"/>
    <x v="0"/>
    <n v="2137.92"/>
  </r>
  <r>
    <s v="ORD200154"/>
    <s v="2023-07-20"/>
    <s v="C73587"/>
    <x v="1"/>
    <n v="4"/>
    <n v="408.21"/>
    <s v="727 Main St"/>
    <x v="2"/>
    <x v="4"/>
    <s v="TRK13955543"/>
    <n v="9"/>
    <s v="None"/>
    <x v="0"/>
    <n v="1632.84"/>
  </r>
  <r>
    <s v="ORD200155"/>
    <s v="2023-02-27"/>
    <s v="C62740"/>
    <x v="1"/>
    <n v="1"/>
    <n v="424.4"/>
    <s v="446 Main St"/>
    <x v="1"/>
    <x v="0"/>
    <s v="TRK20706408"/>
    <n v="6"/>
    <s v="WINTER15"/>
    <x v="1"/>
    <n v="424.4"/>
  </r>
  <r>
    <s v="ORD200156"/>
    <s v="2024-11-08"/>
    <s v="C58808"/>
    <x v="3"/>
    <n v="2"/>
    <n v="269.83"/>
    <s v="651 Main St"/>
    <x v="1"/>
    <x v="3"/>
    <s v="TRK24451893"/>
    <n v="4"/>
    <s v="SAVE10"/>
    <x v="2"/>
    <n v="539.66"/>
  </r>
  <r>
    <s v="ORD200157"/>
    <s v="2025-02-21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s v="2024-05-16"/>
    <s v="C23334"/>
    <x v="2"/>
    <n v="1"/>
    <n v="331.06"/>
    <s v="737 Main St"/>
    <x v="2"/>
    <x v="4"/>
    <s v="TRK46335144"/>
    <n v="5"/>
    <s v="WINTER15"/>
    <x v="0"/>
    <n v="331.06"/>
  </r>
  <r>
    <s v="ORD200159"/>
    <s v="2023-10-31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s v="2023-02-17"/>
    <s v="C38669"/>
    <x v="0"/>
    <n v="4"/>
    <n v="101.32"/>
    <s v="240 Main St"/>
    <x v="4"/>
    <x v="4"/>
    <s v="TRK81738254"/>
    <n v="7"/>
    <s v="None"/>
    <x v="1"/>
    <n v="405.28"/>
  </r>
  <r>
    <s v="ORD200161"/>
    <s v="2024-03-29"/>
    <s v="C35091"/>
    <x v="0"/>
    <n v="1"/>
    <n v="211.14"/>
    <s v="513 Main St"/>
    <x v="2"/>
    <x v="1"/>
    <s v="TRK53784452"/>
    <n v="1"/>
    <s v="SAVE10"/>
    <x v="3"/>
    <n v="211.14"/>
  </r>
  <r>
    <s v="ORD200162"/>
    <s v="2023-07-27"/>
    <s v="C82313"/>
    <x v="3"/>
    <n v="3"/>
    <n v="65.86"/>
    <s v="917 Main St"/>
    <x v="1"/>
    <x v="4"/>
    <s v="TRK79854624"/>
    <n v="8"/>
    <s v="WINTER15"/>
    <x v="4"/>
    <n v="197.58"/>
  </r>
  <r>
    <s v="ORD200163"/>
    <s v="2025-06-24"/>
    <s v="C99589"/>
    <x v="2"/>
    <n v="1"/>
    <n v="641.39"/>
    <s v="277 Main St"/>
    <x v="1"/>
    <x v="1"/>
    <s v="TRK16695001"/>
    <n v="1"/>
    <s v="None"/>
    <x v="1"/>
    <n v="641.39"/>
  </r>
  <r>
    <s v="ORD200164"/>
    <s v="2023-12-28"/>
    <s v="C70566"/>
    <x v="6"/>
    <n v="5"/>
    <n v="536.58000000000004"/>
    <s v="667 Main St"/>
    <x v="3"/>
    <x v="4"/>
    <s v="TRK49673411"/>
    <n v="5"/>
    <s v="SAVE10"/>
    <x v="4"/>
    <n v="2682.9"/>
  </r>
  <r>
    <s v="ORD200165"/>
    <s v="2024-09-14"/>
    <s v="C60355"/>
    <x v="0"/>
    <n v="2"/>
    <n v="500.29"/>
    <s v="226 Main St"/>
    <x v="1"/>
    <x v="2"/>
    <s v="TRK30155194"/>
    <n v="7"/>
    <s v="WINTER15"/>
    <x v="4"/>
    <n v="1000.58"/>
  </r>
  <r>
    <s v="ORD200166"/>
    <s v="2025-03-04"/>
    <s v="C28889"/>
    <x v="3"/>
    <n v="3"/>
    <n v="86.29"/>
    <s v="565 Main St"/>
    <x v="4"/>
    <x v="3"/>
    <s v="TRK23791726"/>
    <n v="6"/>
    <s v="WINTER15"/>
    <x v="0"/>
    <n v="258.87"/>
  </r>
  <r>
    <s v="ORD200167"/>
    <s v="2023-05-27"/>
    <s v="C88304"/>
    <x v="3"/>
    <n v="2"/>
    <n v="384.14"/>
    <s v="219 Main St"/>
    <x v="1"/>
    <x v="2"/>
    <s v="TRK44268941"/>
    <n v="2"/>
    <s v="WINTER15"/>
    <x v="2"/>
    <n v="768.28"/>
  </r>
  <r>
    <s v="ORD200168"/>
    <s v="2025-01-04"/>
    <s v="C49517"/>
    <x v="4"/>
    <n v="1"/>
    <n v="594.96"/>
    <s v="878 Main St"/>
    <x v="4"/>
    <x v="2"/>
    <s v="TRK78551375"/>
    <n v="6"/>
    <s v="None"/>
    <x v="3"/>
    <n v="594.96"/>
  </r>
  <r>
    <s v="ORD200169"/>
    <s v="2024-04-07"/>
    <s v="C35785"/>
    <x v="4"/>
    <n v="1"/>
    <n v="427.82"/>
    <s v="732 Main St"/>
    <x v="1"/>
    <x v="3"/>
    <s v="TRK78923089"/>
    <n v="2"/>
    <s v="WINTER15"/>
    <x v="2"/>
    <n v="427.82"/>
  </r>
  <r>
    <s v="ORD200170"/>
    <s v="2025-04-04"/>
    <s v="C80223"/>
    <x v="6"/>
    <n v="4"/>
    <n v="662.94"/>
    <s v="535 Main St"/>
    <x v="4"/>
    <x v="1"/>
    <s v="TRK68632951"/>
    <n v="8"/>
    <s v="SAVE10"/>
    <x v="0"/>
    <n v="2651.76"/>
  </r>
  <r>
    <s v="ORD200171"/>
    <s v="2023-08-15"/>
    <s v="C20448"/>
    <x v="2"/>
    <n v="2"/>
    <n v="148.22"/>
    <s v="336 Main St"/>
    <x v="2"/>
    <x v="3"/>
    <s v="TRK67379895"/>
    <n v="7"/>
    <s v="WINTER15"/>
    <x v="0"/>
    <n v="296.44"/>
  </r>
  <r>
    <s v="ORD200172"/>
    <s v="2025-04-06"/>
    <s v="C34134"/>
    <x v="4"/>
    <n v="1"/>
    <n v="254.12"/>
    <s v="365 Main St"/>
    <x v="1"/>
    <x v="3"/>
    <s v="TRK43074303"/>
    <n v="1"/>
    <s v="WINTER15"/>
    <x v="2"/>
    <n v="254.12"/>
  </r>
  <r>
    <s v="ORD200173"/>
    <s v="2024-03-24"/>
    <s v="C95901"/>
    <x v="1"/>
    <n v="3"/>
    <n v="664.46"/>
    <s v="806 Main St"/>
    <x v="1"/>
    <x v="3"/>
    <s v="TRK56989066"/>
    <n v="4"/>
    <s v="FREESHIP"/>
    <x v="4"/>
    <n v="1993.38"/>
  </r>
  <r>
    <s v="ORD200174"/>
    <s v="2024-04-16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s v="2025-02-08"/>
    <s v="C78170"/>
    <x v="3"/>
    <n v="5"/>
    <n v="68.34"/>
    <s v="332 Main St"/>
    <x v="0"/>
    <x v="4"/>
    <s v="TRK71410605"/>
    <n v="6"/>
    <s v="WINTER15"/>
    <x v="1"/>
    <n v="341.7"/>
  </r>
  <r>
    <s v="ORD200176"/>
    <s v="2025-06-28"/>
    <s v="C80151"/>
    <x v="2"/>
    <n v="4"/>
    <n v="430.83"/>
    <s v="553 Main St"/>
    <x v="3"/>
    <x v="4"/>
    <s v="TRK88251529"/>
    <n v="8"/>
    <s v="WINTER15"/>
    <x v="1"/>
    <n v="1723.32"/>
  </r>
  <r>
    <s v="ORD200177"/>
    <s v="2023-08-05"/>
    <s v="C55632"/>
    <x v="3"/>
    <n v="5"/>
    <n v="431.69"/>
    <s v="354 Main St"/>
    <x v="2"/>
    <x v="4"/>
    <s v="TRK13003066"/>
    <n v="10"/>
    <s v="None"/>
    <x v="3"/>
    <n v="2158.4499999999998"/>
  </r>
  <r>
    <s v="ORD200178"/>
    <s v="2024-04-11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s v="2024-11-24"/>
    <s v="C27401"/>
    <x v="5"/>
    <n v="3"/>
    <n v="539.91"/>
    <s v="500 Main St"/>
    <x v="2"/>
    <x v="3"/>
    <s v="TRK14332053"/>
    <n v="8"/>
    <s v="None"/>
    <x v="2"/>
    <n v="1619.73"/>
  </r>
  <r>
    <s v="ORD200180"/>
    <s v="2023-03-18"/>
    <s v="C87216"/>
    <x v="2"/>
    <n v="5"/>
    <n v="316.07"/>
    <s v="970 Main St"/>
    <x v="4"/>
    <x v="2"/>
    <s v="TRK18713727"/>
    <n v="10"/>
    <s v="None"/>
    <x v="4"/>
    <n v="1580.35"/>
  </r>
  <r>
    <s v="ORD200181"/>
    <s v="2024-08-31"/>
    <s v="C38966"/>
    <x v="4"/>
    <n v="5"/>
    <n v="404.39"/>
    <s v="247 Main St"/>
    <x v="1"/>
    <x v="0"/>
    <s v="TRK17205146"/>
    <n v="10"/>
    <s v="None"/>
    <x v="1"/>
    <n v="2021.95"/>
  </r>
  <r>
    <s v="ORD200182"/>
    <s v="2025-03-19"/>
    <s v="C16612"/>
    <x v="6"/>
    <n v="1"/>
    <n v="600.54"/>
    <s v="596 Main St"/>
    <x v="0"/>
    <x v="4"/>
    <s v="TRK96188223"/>
    <n v="4"/>
    <s v="WINTER15"/>
    <x v="4"/>
    <n v="600.54"/>
  </r>
  <r>
    <s v="ORD200183"/>
    <s v="2024-04-18"/>
    <s v="C39246"/>
    <x v="0"/>
    <n v="5"/>
    <n v="186.28"/>
    <s v="258 Main St"/>
    <x v="0"/>
    <x v="3"/>
    <s v="TRK16658182"/>
    <n v="8"/>
    <s v="SAVE10"/>
    <x v="2"/>
    <n v="931.4"/>
  </r>
  <r>
    <s v="ORD200184"/>
    <s v="2024-04-04"/>
    <s v="C65180"/>
    <x v="2"/>
    <n v="4"/>
    <n v="214.54"/>
    <s v="231 Main St"/>
    <x v="3"/>
    <x v="1"/>
    <s v="TRK39255469"/>
    <n v="7"/>
    <s v="None"/>
    <x v="1"/>
    <n v="858.16"/>
  </r>
  <r>
    <s v="ORD200185"/>
    <s v="2025-02-02"/>
    <s v="C46877"/>
    <x v="5"/>
    <n v="1"/>
    <n v="210.7"/>
    <s v="572 Main St"/>
    <x v="1"/>
    <x v="0"/>
    <s v="TRK96935978"/>
    <n v="2"/>
    <s v="WINTER15"/>
    <x v="1"/>
    <n v="210.7"/>
  </r>
  <r>
    <s v="ORD200186"/>
    <s v="2023-12-07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s v="2023-02-08"/>
    <s v="C21227"/>
    <x v="3"/>
    <n v="1"/>
    <n v="590.87"/>
    <s v="689 Main St"/>
    <x v="3"/>
    <x v="2"/>
    <s v="TRK79129657"/>
    <n v="6"/>
    <s v="FREESHIP"/>
    <x v="1"/>
    <n v="590.87"/>
  </r>
  <r>
    <s v="ORD200188"/>
    <s v="2025-03-15"/>
    <s v="C97715"/>
    <x v="3"/>
    <n v="2"/>
    <n v="363.91"/>
    <s v="927 Main St"/>
    <x v="3"/>
    <x v="0"/>
    <s v="TRK19515949"/>
    <n v="2"/>
    <s v="FREESHIP"/>
    <x v="1"/>
    <n v="727.82"/>
  </r>
  <r>
    <s v="ORD200189"/>
    <s v="2023-07-05"/>
    <s v="C48939"/>
    <x v="4"/>
    <n v="5"/>
    <n v="429.45"/>
    <s v="597 Main St"/>
    <x v="3"/>
    <x v="1"/>
    <s v="TRK62786764"/>
    <n v="5"/>
    <s v="WINTER15"/>
    <x v="2"/>
    <n v="2147.25"/>
  </r>
  <r>
    <s v="ORD200190"/>
    <s v="2024-08-31"/>
    <s v="C35483"/>
    <x v="4"/>
    <n v="3"/>
    <n v="223.7"/>
    <s v="725 Main St"/>
    <x v="4"/>
    <x v="2"/>
    <s v="TRK79638203"/>
    <n v="3"/>
    <s v="SAVE10"/>
    <x v="2"/>
    <n v="671.1"/>
  </r>
  <r>
    <s v="ORD200191"/>
    <s v="2025-03-08"/>
    <s v="C51494"/>
    <x v="5"/>
    <n v="2"/>
    <n v="488.87"/>
    <s v="505 Main St"/>
    <x v="1"/>
    <x v="1"/>
    <s v="TRK58520306"/>
    <n v="4"/>
    <s v="FREESHIP"/>
    <x v="4"/>
    <n v="977.74"/>
  </r>
  <r>
    <s v="ORD200192"/>
    <s v="2023-08-11"/>
    <s v="C58410"/>
    <x v="6"/>
    <n v="1"/>
    <n v="645.46"/>
    <s v="151 Main St"/>
    <x v="3"/>
    <x v="1"/>
    <s v="TRK19749672"/>
    <n v="5"/>
    <s v="SAVE10"/>
    <x v="4"/>
    <n v="645.46"/>
  </r>
  <r>
    <s v="ORD200193"/>
    <s v="2023-07-21"/>
    <s v="C11644"/>
    <x v="4"/>
    <n v="1"/>
    <n v="46.66"/>
    <s v="429 Main St"/>
    <x v="4"/>
    <x v="1"/>
    <s v="TRK81320339"/>
    <n v="6"/>
    <s v="None"/>
    <x v="4"/>
    <n v="46.66"/>
  </r>
  <r>
    <s v="ORD200194"/>
    <s v="2024-06-08"/>
    <s v="C53501"/>
    <x v="0"/>
    <n v="1"/>
    <n v="249.57"/>
    <s v="899 Main St"/>
    <x v="4"/>
    <x v="0"/>
    <s v="TRK90144892"/>
    <n v="3"/>
    <s v="FREESHIP"/>
    <x v="4"/>
    <n v="249.57"/>
  </r>
  <r>
    <s v="ORD200195"/>
    <s v="2024-04-22"/>
    <s v="C63619"/>
    <x v="3"/>
    <n v="3"/>
    <n v="619.21"/>
    <s v="801 Main St"/>
    <x v="0"/>
    <x v="1"/>
    <s v="TRK65385674"/>
    <n v="6"/>
    <s v="None"/>
    <x v="2"/>
    <n v="1857.63"/>
  </r>
  <r>
    <s v="ORD200196"/>
    <s v="2025-01-24"/>
    <s v="C40882"/>
    <x v="6"/>
    <n v="4"/>
    <n v="217.13"/>
    <s v="719 Main St"/>
    <x v="4"/>
    <x v="3"/>
    <s v="TRK64165503"/>
    <n v="8"/>
    <s v="WINTER15"/>
    <x v="2"/>
    <n v="868.52"/>
  </r>
  <r>
    <s v="ORD200197"/>
    <s v="2023-08-27"/>
    <s v="C80135"/>
    <x v="5"/>
    <n v="5"/>
    <n v="221.51"/>
    <s v="723 Main St"/>
    <x v="4"/>
    <x v="2"/>
    <s v="TRK95222269"/>
    <n v="5"/>
    <s v="WINTER15"/>
    <x v="1"/>
    <n v="1107.55"/>
  </r>
  <r>
    <s v="ORD200198"/>
    <s v="2024-06-11"/>
    <s v="C37594"/>
    <x v="5"/>
    <n v="4"/>
    <n v="340.3"/>
    <s v="926 Main St"/>
    <x v="4"/>
    <x v="1"/>
    <s v="TRK94405162"/>
    <n v="8"/>
    <s v="SAVE10"/>
    <x v="1"/>
    <n v="1361.2"/>
  </r>
  <r>
    <s v="ORD200199"/>
    <s v="2025-01-23"/>
    <s v="C87524"/>
    <x v="1"/>
    <n v="1"/>
    <n v="625"/>
    <s v="358 Main St"/>
    <x v="1"/>
    <x v="2"/>
    <s v="TRK21114341"/>
    <n v="5"/>
    <s v="WINTER15"/>
    <x v="4"/>
    <n v="625"/>
  </r>
  <r>
    <s v="ORD200200"/>
    <s v="2025-06-07"/>
    <s v="C97681"/>
    <x v="2"/>
    <n v="5"/>
    <n v="433.26"/>
    <s v="895 Main St"/>
    <x v="2"/>
    <x v="3"/>
    <s v="TRK37531040"/>
    <n v="9"/>
    <s v="SAVE10"/>
    <x v="4"/>
    <n v="2166.3000000000002"/>
  </r>
  <r>
    <s v="ORD200201"/>
    <s v="2023-06-18"/>
    <s v="C10126"/>
    <x v="0"/>
    <n v="2"/>
    <n v="674.9"/>
    <s v="146 Main St"/>
    <x v="1"/>
    <x v="0"/>
    <s v="TRK75607531"/>
    <n v="4"/>
    <s v="SAVE10"/>
    <x v="3"/>
    <n v="1349.8"/>
  </r>
  <r>
    <s v="ORD200202"/>
    <s v="2025-02-06"/>
    <s v="C36938"/>
    <x v="0"/>
    <n v="3"/>
    <n v="253.98"/>
    <s v="636 Main St"/>
    <x v="2"/>
    <x v="1"/>
    <s v="TRK52522904"/>
    <n v="3"/>
    <s v="FREESHIP"/>
    <x v="2"/>
    <n v="761.94"/>
  </r>
  <r>
    <s v="ORD200203"/>
    <s v="2025-01-21"/>
    <s v="C99173"/>
    <x v="4"/>
    <n v="3"/>
    <n v="356.84"/>
    <s v="172 Main St"/>
    <x v="1"/>
    <x v="0"/>
    <s v="TRK89849342"/>
    <n v="5"/>
    <s v="SAVE10"/>
    <x v="0"/>
    <n v="1070.52"/>
  </r>
  <r>
    <s v="ORD200204"/>
    <s v="2023-09-05"/>
    <s v="C99775"/>
    <x v="5"/>
    <n v="4"/>
    <n v="413.71"/>
    <s v="478 Main St"/>
    <x v="3"/>
    <x v="1"/>
    <s v="TRK21638425"/>
    <n v="9"/>
    <s v="FREESHIP"/>
    <x v="3"/>
    <n v="1654.84"/>
  </r>
  <r>
    <s v="ORD200205"/>
    <s v="2023-03-04"/>
    <s v="C19266"/>
    <x v="6"/>
    <n v="3"/>
    <n v="147.38999999999999"/>
    <s v="609 Main St"/>
    <x v="0"/>
    <x v="2"/>
    <s v="TRK58357269"/>
    <n v="3"/>
    <s v="None"/>
    <x v="2"/>
    <n v="442.17"/>
  </r>
  <r>
    <s v="ORD200206"/>
    <s v="2024-04-16"/>
    <s v="C31072"/>
    <x v="5"/>
    <n v="4"/>
    <n v="229.1"/>
    <s v="729 Main St"/>
    <x v="3"/>
    <x v="2"/>
    <s v="TRK77172975"/>
    <n v="8"/>
    <s v="WINTER15"/>
    <x v="2"/>
    <n v="916.4"/>
  </r>
  <r>
    <s v="ORD200207"/>
    <s v="2025-03-18"/>
    <s v="C54595"/>
    <x v="1"/>
    <n v="1"/>
    <n v="121.96"/>
    <s v="999 Main St"/>
    <x v="0"/>
    <x v="3"/>
    <s v="TRK44416659"/>
    <n v="3"/>
    <s v="None"/>
    <x v="4"/>
    <n v="121.96"/>
  </r>
  <r>
    <s v="ORD200208"/>
    <s v="2024-10-08"/>
    <s v="C87777"/>
    <x v="6"/>
    <n v="2"/>
    <n v="408.32"/>
    <s v="597 Main St"/>
    <x v="1"/>
    <x v="0"/>
    <s v="TRK29003608"/>
    <n v="3"/>
    <s v="FREESHIP"/>
    <x v="3"/>
    <n v="816.64"/>
  </r>
  <r>
    <s v="ORD200209"/>
    <s v="2023-08-29"/>
    <s v="C35854"/>
    <x v="2"/>
    <n v="5"/>
    <n v="187.97"/>
    <s v="706 Main St"/>
    <x v="4"/>
    <x v="2"/>
    <s v="TRK30615168"/>
    <n v="9"/>
    <s v="SAVE10"/>
    <x v="4"/>
    <n v="939.85"/>
  </r>
  <r>
    <s v="ORD200210"/>
    <s v="2024-12-05"/>
    <s v="C93821"/>
    <x v="3"/>
    <n v="3"/>
    <n v="358.48"/>
    <s v="513 Main St"/>
    <x v="3"/>
    <x v="3"/>
    <s v="TRK10658539"/>
    <n v="7"/>
    <s v="FREESHIP"/>
    <x v="3"/>
    <n v="1075.44"/>
  </r>
  <r>
    <s v="ORD200211"/>
    <s v="2025-01-03"/>
    <s v="C54390"/>
    <x v="4"/>
    <n v="3"/>
    <n v="193.58"/>
    <s v="185 Main St"/>
    <x v="3"/>
    <x v="4"/>
    <s v="TRK83853742"/>
    <n v="7"/>
    <s v="FREESHIP"/>
    <x v="2"/>
    <n v="580.74"/>
  </r>
  <r>
    <s v="ORD200212"/>
    <s v="2023-06-20"/>
    <s v="C53215"/>
    <x v="0"/>
    <n v="1"/>
    <n v="265.38"/>
    <s v="367 Main St"/>
    <x v="2"/>
    <x v="1"/>
    <s v="TRK34751835"/>
    <n v="6"/>
    <s v="WINTER15"/>
    <x v="2"/>
    <n v="265.38"/>
  </r>
  <r>
    <s v="ORD200213"/>
    <s v="2023-04-20"/>
    <s v="C71122"/>
    <x v="5"/>
    <n v="1"/>
    <n v="634.4"/>
    <s v="317 Main St"/>
    <x v="4"/>
    <x v="1"/>
    <s v="TRK54757882"/>
    <n v="6"/>
    <s v="SAVE10"/>
    <x v="2"/>
    <n v="634.4"/>
  </r>
  <r>
    <s v="ORD200214"/>
    <s v="2024-08-21"/>
    <s v="C29483"/>
    <x v="6"/>
    <n v="4"/>
    <n v="305.72000000000003"/>
    <s v="673 Main St"/>
    <x v="1"/>
    <x v="3"/>
    <s v="TRK89423603"/>
    <n v="5"/>
    <s v="None"/>
    <x v="3"/>
    <n v="1222.8800000000001"/>
  </r>
  <r>
    <s v="ORD200215"/>
    <s v="2023-08-1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s v="2025-04-15"/>
    <s v="C70492"/>
    <x v="0"/>
    <n v="4"/>
    <n v="496"/>
    <s v="811 Main St"/>
    <x v="1"/>
    <x v="1"/>
    <s v="TRK84625405"/>
    <n v="8"/>
    <s v="WINTER15"/>
    <x v="4"/>
    <n v="1984"/>
  </r>
  <r>
    <s v="ORD200217"/>
    <s v="2024-05-20"/>
    <s v="C61549"/>
    <x v="6"/>
    <n v="4"/>
    <n v="321.51"/>
    <s v="908 Main St"/>
    <x v="4"/>
    <x v="2"/>
    <s v="TRK65596914"/>
    <n v="9"/>
    <s v="None"/>
    <x v="4"/>
    <n v="1286.04"/>
  </r>
  <r>
    <s v="ORD200218"/>
    <s v="2023-04-28"/>
    <s v="C11665"/>
    <x v="2"/>
    <n v="3"/>
    <n v="112.46"/>
    <s v="882 Main St"/>
    <x v="3"/>
    <x v="0"/>
    <s v="TRK10993930"/>
    <n v="6"/>
    <s v="SAVE10"/>
    <x v="0"/>
    <n v="337.38"/>
  </r>
  <r>
    <s v="ORD200219"/>
    <s v="2025-05-02"/>
    <s v="C48946"/>
    <x v="5"/>
    <n v="5"/>
    <n v="61.97"/>
    <s v="457 Main St"/>
    <x v="4"/>
    <x v="3"/>
    <s v="TRK99387220"/>
    <n v="6"/>
    <s v="SAVE10"/>
    <x v="2"/>
    <n v="309.85000000000002"/>
  </r>
  <r>
    <s v="ORD200220"/>
    <s v="2023-07-18"/>
    <s v="C79506"/>
    <x v="5"/>
    <n v="2"/>
    <n v="373.17"/>
    <s v="497 Main St"/>
    <x v="2"/>
    <x v="4"/>
    <s v="TRK95188748"/>
    <n v="6"/>
    <s v="SAVE10"/>
    <x v="1"/>
    <n v="746.34"/>
  </r>
  <r>
    <s v="ORD200221"/>
    <s v="2024-02-23"/>
    <s v="C93473"/>
    <x v="2"/>
    <n v="5"/>
    <n v="639.37"/>
    <s v="552 Main St"/>
    <x v="0"/>
    <x v="4"/>
    <s v="TRK50003989"/>
    <n v="6"/>
    <s v="SAVE10"/>
    <x v="4"/>
    <n v="3196.85"/>
  </r>
  <r>
    <s v="ORD200222"/>
    <s v="2023-05-04"/>
    <s v="C43124"/>
    <x v="3"/>
    <n v="4"/>
    <n v="693.36"/>
    <s v="931 Main St"/>
    <x v="1"/>
    <x v="0"/>
    <s v="TRK17293348"/>
    <n v="8"/>
    <s v="None"/>
    <x v="0"/>
    <n v="2773.44"/>
  </r>
  <r>
    <s v="ORD200223"/>
    <s v="2024-09-11"/>
    <s v="C22783"/>
    <x v="1"/>
    <n v="4"/>
    <n v="692.91"/>
    <s v="673 Main St"/>
    <x v="2"/>
    <x v="4"/>
    <s v="TRK55009149"/>
    <n v="9"/>
    <s v="SAVE10"/>
    <x v="0"/>
    <n v="2771.64"/>
  </r>
  <r>
    <s v="ORD200224"/>
    <s v="2023-09-23"/>
    <s v="C18567"/>
    <x v="4"/>
    <n v="4"/>
    <n v="91.46"/>
    <s v="507 Main St"/>
    <x v="4"/>
    <x v="1"/>
    <s v="TRK17554673"/>
    <n v="9"/>
    <s v="SAVE10"/>
    <x v="1"/>
    <n v="365.84"/>
  </r>
  <r>
    <s v="ORD200225"/>
    <s v="2024-03-13"/>
    <s v="C99879"/>
    <x v="1"/>
    <n v="3"/>
    <n v="273.95999999999998"/>
    <s v="692 Main St"/>
    <x v="0"/>
    <x v="2"/>
    <s v="TRK50246700"/>
    <n v="8"/>
    <s v="SAVE10"/>
    <x v="4"/>
    <n v="821.88"/>
  </r>
  <r>
    <s v="ORD200226"/>
    <s v="2025-06-27"/>
    <s v="C31501"/>
    <x v="6"/>
    <n v="3"/>
    <n v="588.04999999999995"/>
    <s v="242 Main St"/>
    <x v="3"/>
    <x v="3"/>
    <s v="TRK93063929"/>
    <n v="8"/>
    <s v="None"/>
    <x v="0"/>
    <n v="1764.15"/>
  </r>
  <r>
    <s v="ORD200227"/>
    <s v="2023-11-02"/>
    <s v="C93220"/>
    <x v="0"/>
    <n v="2"/>
    <n v="365.17"/>
    <s v="353 Main St"/>
    <x v="1"/>
    <x v="1"/>
    <s v="TRK89023251"/>
    <n v="4"/>
    <s v="FREESHIP"/>
    <x v="3"/>
    <n v="730.34"/>
  </r>
  <r>
    <s v="ORD200228"/>
    <s v="2023-05-17"/>
    <s v="C57867"/>
    <x v="3"/>
    <n v="4"/>
    <n v="385.92"/>
    <s v="579 Main St"/>
    <x v="2"/>
    <x v="1"/>
    <s v="TRK92055007"/>
    <n v="8"/>
    <s v="None"/>
    <x v="0"/>
    <n v="1543.68"/>
  </r>
  <r>
    <s v="ORD200229"/>
    <s v="2025-03-28"/>
    <s v="C62622"/>
    <x v="2"/>
    <n v="1"/>
    <n v="562.61"/>
    <s v="762 Main St"/>
    <x v="2"/>
    <x v="3"/>
    <s v="TRK70997648"/>
    <n v="3"/>
    <s v="WINTER15"/>
    <x v="3"/>
    <n v="562.61"/>
  </r>
  <r>
    <s v="ORD200230"/>
    <s v="2023-12-16"/>
    <s v="C94595"/>
    <x v="6"/>
    <n v="4"/>
    <n v="61.91"/>
    <s v="948 Main St"/>
    <x v="3"/>
    <x v="3"/>
    <s v="TRK24497305"/>
    <n v="6"/>
    <s v="WINTER15"/>
    <x v="2"/>
    <n v="247.64"/>
  </r>
  <r>
    <s v="ORD200231"/>
    <s v="2023-11-05"/>
    <s v="C30955"/>
    <x v="1"/>
    <n v="4"/>
    <n v="41.9"/>
    <s v="327 Main St"/>
    <x v="3"/>
    <x v="4"/>
    <s v="TRK46898848"/>
    <n v="9"/>
    <s v="FREESHIP"/>
    <x v="0"/>
    <n v="167.6"/>
  </r>
  <r>
    <s v="ORD200232"/>
    <s v="2023-05-19"/>
    <s v="C20731"/>
    <x v="4"/>
    <n v="4"/>
    <n v="444.44"/>
    <s v="610 Main St"/>
    <x v="0"/>
    <x v="1"/>
    <s v="TRK75568437"/>
    <n v="8"/>
    <s v="WINTER15"/>
    <x v="4"/>
    <n v="1777.76"/>
  </r>
  <r>
    <s v="ORD200233"/>
    <s v="2024-08-24"/>
    <s v="C30168"/>
    <x v="1"/>
    <n v="3"/>
    <n v="311.33"/>
    <s v="146 Main St"/>
    <x v="4"/>
    <x v="1"/>
    <s v="TRK73699939"/>
    <n v="3"/>
    <s v="WINTER15"/>
    <x v="0"/>
    <n v="933.99"/>
  </r>
  <r>
    <s v="ORD200234"/>
    <s v="2024-11-26"/>
    <s v="C79842"/>
    <x v="4"/>
    <n v="4"/>
    <n v="236.41"/>
    <s v="337 Main St"/>
    <x v="0"/>
    <x v="4"/>
    <s v="TRK26957950"/>
    <n v="7"/>
    <s v="SAVE10"/>
    <x v="4"/>
    <n v="945.64"/>
  </r>
  <r>
    <s v="ORD200235"/>
    <s v="2023-02-20"/>
    <s v="C32854"/>
    <x v="6"/>
    <n v="1"/>
    <n v="65.45"/>
    <s v="815 Main St"/>
    <x v="4"/>
    <x v="4"/>
    <s v="TRK30009218"/>
    <n v="2"/>
    <s v="WINTER15"/>
    <x v="4"/>
    <n v="65.45"/>
  </r>
  <r>
    <s v="ORD200236"/>
    <s v="2023-01-01"/>
    <s v="C14847"/>
    <x v="0"/>
    <n v="1"/>
    <n v="318.81"/>
    <s v="562 Main St"/>
    <x v="0"/>
    <x v="4"/>
    <s v="TRK39663243"/>
    <n v="3"/>
    <s v="WINTER15"/>
    <x v="2"/>
    <n v="318.81"/>
  </r>
  <r>
    <s v="ORD200237"/>
    <s v="2024-03-14"/>
    <s v="C88645"/>
    <x v="0"/>
    <n v="3"/>
    <n v="583.72"/>
    <s v="783 Main St"/>
    <x v="2"/>
    <x v="0"/>
    <s v="TRK74097570"/>
    <n v="5"/>
    <s v="FREESHIP"/>
    <x v="3"/>
    <n v="1751.16"/>
  </r>
  <r>
    <s v="ORD200238"/>
    <s v="2024-12-13"/>
    <s v="C66149"/>
    <x v="6"/>
    <n v="4"/>
    <n v="384.32"/>
    <s v="770 Main St"/>
    <x v="2"/>
    <x v="4"/>
    <s v="TRK76307307"/>
    <n v="6"/>
    <s v="WINTER15"/>
    <x v="4"/>
    <n v="1537.28"/>
  </r>
  <r>
    <s v="ORD200239"/>
    <s v="2024-12-11"/>
    <s v="C20256"/>
    <x v="2"/>
    <n v="3"/>
    <n v="538.74"/>
    <s v="456 Main St"/>
    <x v="1"/>
    <x v="0"/>
    <s v="TRK71127943"/>
    <n v="6"/>
    <s v="FREESHIP"/>
    <x v="2"/>
    <n v="1616.22"/>
  </r>
  <r>
    <s v="ORD200240"/>
    <s v="2023-07-12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s v="2023-05-16"/>
    <s v="C20817"/>
    <x v="3"/>
    <n v="5"/>
    <n v="615.66999999999996"/>
    <s v="407 Main St"/>
    <x v="1"/>
    <x v="4"/>
    <s v="TRK44164590"/>
    <n v="6"/>
    <s v="SAVE10"/>
    <x v="2"/>
    <n v="3078.35"/>
  </r>
  <r>
    <s v="ORD200242"/>
    <s v="2023-05-09"/>
    <s v="C94921"/>
    <x v="4"/>
    <n v="2"/>
    <n v="219.1"/>
    <s v="134 Main St"/>
    <x v="1"/>
    <x v="4"/>
    <s v="TRK97794327"/>
    <n v="4"/>
    <s v="SAVE10"/>
    <x v="1"/>
    <n v="438.2"/>
  </r>
  <r>
    <s v="ORD200243"/>
    <s v="2025-05-09"/>
    <s v="C54725"/>
    <x v="3"/>
    <n v="2"/>
    <n v="144.66"/>
    <s v="506 Main St"/>
    <x v="1"/>
    <x v="1"/>
    <s v="TRK30601940"/>
    <n v="7"/>
    <s v="FREESHIP"/>
    <x v="4"/>
    <n v="289.32"/>
  </r>
  <r>
    <s v="ORD200244"/>
    <s v="2023-02-16"/>
    <s v="C98096"/>
    <x v="6"/>
    <n v="2"/>
    <n v="317.77"/>
    <s v="838 Main St"/>
    <x v="0"/>
    <x v="1"/>
    <s v="TRK51518631"/>
    <n v="4"/>
    <s v="WINTER15"/>
    <x v="3"/>
    <n v="635.54"/>
  </r>
  <r>
    <s v="ORD200245"/>
    <s v="2025-04-20"/>
    <s v="C12667"/>
    <x v="5"/>
    <n v="1"/>
    <n v="223.3"/>
    <s v="306 Main St"/>
    <x v="1"/>
    <x v="2"/>
    <s v="TRK25390491"/>
    <n v="1"/>
    <s v="None"/>
    <x v="3"/>
    <n v="223.3"/>
  </r>
  <r>
    <s v="ORD200246"/>
    <s v="2024-08-30"/>
    <s v="C55354"/>
    <x v="6"/>
    <n v="2"/>
    <n v="342.11"/>
    <s v="164 Main St"/>
    <x v="3"/>
    <x v="0"/>
    <s v="TRK15439493"/>
    <n v="2"/>
    <s v="WINTER15"/>
    <x v="0"/>
    <n v="684.22"/>
  </r>
  <r>
    <s v="ORD200247"/>
    <s v="2023-07-20"/>
    <s v="C14600"/>
    <x v="4"/>
    <n v="2"/>
    <n v="220.9"/>
    <s v="785 Main St"/>
    <x v="3"/>
    <x v="0"/>
    <s v="TRK84984764"/>
    <n v="4"/>
    <s v="None"/>
    <x v="2"/>
    <n v="441.8"/>
  </r>
  <r>
    <s v="ORD200248"/>
    <s v="2023-07-02"/>
    <s v="C97187"/>
    <x v="5"/>
    <n v="1"/>
    <n v="670.54"/>
    <s v="471 Main St"/>
    <x v="4"/>
    <x v="0"/>
    <s v="TRK62283713"/>
    <n v="6"/>
    <s v="FREESHIP"/>
    <x v="1"/>
    <n v="670.54"/>
  </r>
  <r>
    <s v="ORD200249"/>
    <s v="2024-02-0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s v="2023-04-05"/>
    <s v="C93379"/>
    <x v="6"/>
    <n v="3"/>
    <n v="42.95"/>
    <s v="318 Main St"/>
    <x v="3"/>
    <x v="2"/>
    <s v="TRK67954150"/>
    <n v="8"/>
    <s v="SAVE10"/>
    <x v="2"/>
    <n v="128.85"/>
  </r>
  <r>
    <s v="ORD200251"/>
    <s v="2025-05-15"/>
    <s v="C93175"/>
    <x v="0"/>
    <n v="4"/>
    <n v="14.69"/>
    <s v="814 Main St"/>
    <x v="4"/>
    <x v="1"/>
    <s v="TRK32995144"/>
    <n v="9"/>
    <s v="None"/>
    <x v="2"/>
    <n v="58.76"/>
  </r>
  <r>
    <s v="ORD200252"/>
    <s v="2024-09-20"/>
    <s v="C19648"/>
    <x v="1"/>
    <n v="4"/>
    <n v="668.36"/>
    <s v="821 Main St"/>
    <x v="3"/>
    <x v="1"/>
    <s v="TRK51297879"/>
    <n v="5"/>
    <s v="FREESHIP"/>
    <x v="3"/>
    <n v="2673.44"/>
  </r>
  <r>
    <s v="ORD200253"/>
    <s v="2024-03-23"/>
    <s v="C14891"/>
    <x v="3"/>
    <n v="4"/>
    <n v="413.74"/>
    <s v="743 Main St"/>
    <x v="3"/>
    <x v="2"/>
    <s v="TRK79471534"/>
    <n v="7"/>
    <s v="FREESHIP"/>
    <x v="0"/>
    <n v="1654.96"/>
  </r>
  <r>
    <s v="ORD200254"/>
    <s v="2023-12-26"/>
    <s v="C10866"/>
    <x v="0"/>
    <n v="3"/>
    <n v="263.19"/>
    <s v="770 Main St"/>
    <x v="1"/>
    <x v="3"/>
    <s v="TRK34809583"/>
    <n v="5"/>
    <s v="None"/>
    <x v="0"/>
    <n v="789.57"/>
  </r>
  <r>
    <s v="ORD200255"/>
    <s v="2024-05-13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s v="2025-06-30"/>
    <s v="C94323"/>
    <x v="3"/>
    <n v="5"/>
    <n v="75.81"/>
    <s v="463 Main St"/>
    <x v="3"/>
    <x v="2"/>
    <s v="TRK22663277"/>
    <n v="10"/>
    <s v="WINTER15"/>
    <x v="0"/>
    <n v="379.05"/>
  </r>
  <r>
    <s v="ORD200257"/>
    <s v="2024-04-23"/>
    <s v="C89732"/>
    <x v="1"/>
    <n v="1"/>
    <n v="406.22"/>
    <s v="712 Main St"/>
    <x v="2"/>
    <x v="1"/>
    <s v="TRK41059233"/>
    <n v="5"/>
    <s v="SAVE10"/>
    <x v="1"/>
    <n v="406.22"/>
  </r>
  <r>
    <s v="ORD200258"/>
    <s v="2024-02-26"/>
    <s v="C87764"/>
    <x v="2"/>
    <n v="2"/>
    <n v="103.41"/>
    <s v="294 Main St"/>
    <x v="1"/>
    <x v="0"/>
    <s v="TRK94082469"/>
    <n v="2"/>
    <s v="FREESHIP"/>
    <x v="1"/>
    <n v="206.82"/>
  </r>
  <r>
    <s v="ORD200259"/>
    <s v="2023-06-11"/>
    <s v="C20977"/>
    <x v="3"/>
    <n v="4"/>
    <n v="435.12"/>
    <s v="636 Main St"/>
    <x v="2"/>
    <x v="3"/>
    <s v="TRK54991561"/>
    <n v="9"/>
    <s v="SAVE10"/>
    <x v="0"/>
    <n v="1740.48"/>
  </r>
  <r>
    <s v="ORD200260"/>
    <s v="2023-05-17"/>
    <s v="C12245"/>
    <x v="0"/>
    <n v="2"/>
    <n v="407.79"/>
    <s v="153 Main St"/>
    <x v="0"/>
    <x v="0"/>
    <s v="TRK22000463"/>
    <n v="3"/>
    <s v="None"/>
    <x v="4"/>
    <n v="815.58"/>
  </r>
  <r>
    <s v="ORD200261"/>
    <s v="2025-05-28"/>
    <s v="C68976"/>
    <x v="1"/>
    <n v="5"/>
    <n v="173.65"/>
    <s v="460 Main St"/>
    <x v="3"/>
    <x v="3"/>
    <s v="TRK25491356"/>
    <n v="9"/>
    <s v="SAVE10"/>
    <x v="2"/>
    <n v="868.25"/>
  </r>
  <r>
    <s v="ORD200262"/>
    <s v="2023-01-10"/>
    <s v="C69476"/>
    <x v="1"/>
    <n v="4"/>
    <n v="249.07"/>
    <s v="642 Main St"/>
    <x v="2"/>
    <x v="2"/>
    <s v="TRK65869386"/>
    <n v="5"/>
    <s v="WINTER15"/>
    <x v="1"/>
    <n v="996.28"/>
  </r>
  <r>
    <s v="ORD200263"/>
    <s v="2023-03-25"/>
    <s v="C71040"/>
    <x v="1"/>
    <n v="4"/>
    <n v="434.85"/>
    <s v="250 Main St"/>
    <x v="2"/>
    <x v="4"/>
    <s v="TRK41397604"/>
    <n v="4"/>
    <s v="WINTER15"/>
    <x v="4"/>
    <n v="1739.4"/>
  </r>
  <r>
    <s v="ORD200264"/>
    <s v="2024-08-03"/>
    <s v="C71035"/>
    <x v="2"/>
    <n v="1"/>
    <n v="436.77"/>
    <s v="977 Main St"/>
    <x v="4"/>
    <x v="2"/>
    <s v="TRK19599578"/>
    <n v="5"/>
    <s v="FREESHIP"/>
    <x v="4"/>
    <n v="436.77"/>
  </r>
  <r>
    <s v="ORD200265"/>
    <s v="2023-12-22"/>
    <s v="C20752"/>
    <x v="4"/>
    <n v="1"/>
    <n v="572.13"/>
    <s v="150 Main St"/>
    <x v="0"/>
    <x v="1"/>
    <s v="TRK22298450"/>
    <n v="4"/>
    <s v="SAVE10"/>
    <x v="4"/>
    <n v="572.13"/>
  </r>
  <r>
    <s v="ORD200266"/>
    <s v="2024-06-08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s v="2025-04-17"/>
    <s v="C84480"/>
    <x v="3"/>
    <n v="5"/>
    <n v="468.51"/>
    <s v="803 Main St"/>
    <x v="0"/>
    <x v="3"/>
    <s v="TRK62361867"/>
    <n v="9"/>
    <s v="None"/>
    <x v="3"/>
    <n v="2342.5500000000002"/>
  </r>
  <r>
    <s v="ORD200268"/>
    <s v="2023-08-11"/>
    <s v="C37032"/>
    <x v="1"/>
    <n v="2"/>
    <n v="423.88"/>
    <s v="655 Main St"/>
    <x v="0"/>
    <x v="3"/>
    <s v="TRK48639226"/>
    <n v="7"/>
    <s v="SAVE10"/>
    <x v="1"/>
    <n v="847.76"/>
  </r>
  <r>
    <s v="ORD200269"/>
    <s v="2023-11-25"/>
    <s v="C48942"/>
    <x v="2"/>
    <n v="4"/>
    <n v="663.67"/>
    <s v="129 Main St"/>
    <x v="2"/>
    <x v="4"/>
    <s v="TRK29355120"/>
    <n v="7"/>
    <s v="FREESHIP"/>
    <x v="4"/>
    <n v="2654.68"/>
  </r>
  <r>
    <s v="ORD200270"/>
    <s v="2023-06-04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s v="2023-03-28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s v="2023-09-19"/>
    <s v="C29758"/>
    <x v="3"/>
    <n v="2"/>
    <n v="399.32"/>
    <s v="119 Main St"/>
    <x v="1"/>
    <x v="4"/>
    <s v="TRK12990043"/>
    <n v="6"/>
    <s v="WINTER15"/>
    <x v="0"/>
    <n v="798.64"/>
  </r>
  <r>
    <s v="ORD200273"/>
    <s v="2024-10-27"/>
    <s v="C11849"/>
    <x v="2"/>
    <n v="2"/>
    <n v="238.25"/>
    <s v="974 Main St"/>
    <x v="1"/>
    <x v="1"/>
    <s v="TRK91195261"/>
    <n v="7"/>
    <s v="FREESHIP"/>
    <x v="2"/>
    <n v="476.5"/>
  </r>
  <r>
    <s v="ORD200274"/>
    <s v="2023-02-04"/>
    <s v="C50967"/>
    <x v="1"/>
    <n v="2"/>
    <n v="182.4"/>
    <s v="884 Main St"/>
    <x v="3"/>
    <x v="1"/>
    <s v="TRK65300814"/>
    <n v="5"/>
    <s v="SAVE10"/>
    <x v="1"/>
    <n v="364.8"/>
  </r>
  <r>
    <s v="ORD200275"/>
    <s v="2023-11-04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s v="2025-03-29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s v="2024-09-09"/>
    <s v="C11210"/>
    <x v="3"/>
    <n v="5"/>
    <n v="90.92"/>
    <s v="910 Main St"/>
    <x v="2"/>
    <x v="3"/>
    <s v="TRK44929965"/>
    <n v="9"/>
    <s v="SAVE10"/>
    <x v="3"/>
    <n v="454.6"/>
  </r>
  <r>
    <s v="ORD200278"/>
    <s v="2024-11-18"/>
    <s v="C46015"/>
    <x v="5"/>
    <n v="5"/>
    <n v="362.46"/>
    <s v="299 Main St"/>
    <x v="4"/>
    <x v="3"/>
    <s v="TRK46598430"/>
    <n v="6"/>
    <s v="FREESHIP"/>
    <x v="0"/>
    <n v="1812.3"/>
  </r>
  <r>
    <s v="ORD200279"/>
    <s v="2023-10-20"/>
    <s v="C69167"/>
    <x v="3"/>
    <n v="3"/>
    <n v="55.01"/>
    <s v="263 Main St"/>
    <x v="1"/>
    <x v="4"/>
    <s v="TRK12425655"/>
    <n v="7"/>
    <s v="WINTER15"/>
    <x v="2"/>
    <n v="165.03"/>
  </r>
  <r>
    <s v="ORD200280"/>
    <s v="2023-03-27"/>
    <s v="C55388"/>
    <x v="2"/>
    <n v="3"/>
    <n v="404.62"/>
    <s v="740 Main St"/>
    <x v="3"/>
    <x v="3"/>
    <s v="TRK75741001"/>
    <n v="6"/>
    <s v="FREESHIP"/>
    <x v="0"/>
    <n v="1213.8599999999999"/>
  </r>
  <r>
    <s v="ORD200281"/>
    <s v="2023-07-27"/>
    <s v="C87181"/>
    <x v="6"/>
    <n v="4"/>
    <n v="654.79"/>
    <s v="195 Main St"/>
    <x v="4"/>
    <x v="4"/>
    <s v="TRK60093390"/>
    <n v="9"/>
    <s v="None"/>
    <x v="1"/>
    <n v="2619.16"/>
  </r>
  <r>
    <s v="ORD200282"/>
    <s v="2025-04-22"/>
    <s v="C30411"/>
    <x v="4"/>
    <n v="4"/>
    <n v="637.79"/>
    <s v="375 Main St"/>
    <x v="3"/>
    <x v="1"/>
    <s v="TRK71810536"/>
    <n v="9"/>
    <s v="FREESHIP"/>
    <x v="4"/>
    <n v="2551.16"/>
  </r>
  <r>
    <s v="ORD200283"/>
    <s v="2025-02-28"/>
    <s v="C39638"/>
    <x v="5"/>
    <n v="4"/>
    <n v="540.33000000000004"/>
    <s v="990 Main St"/>
    <x v="4"/>
    <x v="0"/>
    <s v="TRK69745608"/>
    <n v="6"/>
    <s v="None"/>
    <x v="4"/>
    <n v="2161.3200000000002"/>
  </r>
  <r>
    <s v="ORD200284"/>
    <s v="2023-02-16"/>
    <s v="C27203"/>
    <x v="5"/>
    <n v="5"/>
    <n v="208.17"/>
    <s v="516 Main St"/>
    <x v="2"/>
    <x v="2"/>
    <s v="TRK22023906"/>
    <n v="6"/>
    <s v="SAVE10"/>
    <x v="3"/>
    <n v="1040.8499999999999"/>
  </r>
  <r>
    <s v="ORD200285"/>
    <s v="2025-06-10"/>
    <s v="C67583"/>
    <x v="1"/>
    <n v="1"/>
    <n v="338.31"/>
    <s v="974 Main St"/>
    <x v="1"/>
    <x v="3"/>
    <s v="TRK93281700"/>
    <n v="3"/>
    <s v="None"/>
    <x v="4"/>
    <n v="338.31"/>
  </r>
  <r>
    <s v="ORD200286"/>
    <s v="2025-04-07"/>
    <s v="C70554"/>
    <x v="0"/>
    <n v="3"/>
    <n v="139.44999999999999"/>
    <s v="187 Main St"/>
    <x v="3"/>
    <x v="2"/>
    <s v="TRK61086952"/>
    <n v="8"/>
    <s v="WINTER15"/>
    <x v="4"/>
    <n v="418.35"/>
  </r>
  <r>
    <s v="ORD200287"/>
    <s v="2023-11-24"/>
    <s v="C70437"/>
    <x v="3"/>
    <n v="4"/>
    <n v="655.17999999999995"/>
    <s v="630 Main St"/>
    <x v="1"/>
    <x v="0"/>
    <s v="TRK26628830"/>
    <n v="5"/>
    <s v="None"/>
    <x v="3"/>
    <n v="2620.7199999999998"/>
  </r>
  <r>
    <s v="ORD200288"/>
    <s v="2023-03-12"/>
    <s v="C97643"/>
    <x v="5"/>
    <n v="4"/>
    <n v="512.75"/>
    <s v="537 Main St"/>
    <x v="0"/>
    <x v="2"/>
    <s v="TRK60831391"/>
    <n v="8"/>
    <s v="WINTER15"/>
    <x v="4"/>
    <n v="2051"/>
  </r>
  <r>
    <s v="ORD200289"/>
    <s v="2023-07-26"/>
    <s v="C17136"/>
    <x v="3"/>
    <n v="4"/>
    <n v="160.49"/>
    <s v="333 Main St"/>
    <x v="2"/>
    <x v="0"/>
    <s v="TRK55362541"/>
    <n v="8"/>
    <s v="WINTER15"/>
    <x v="1"/>
    <n v="641.96"/>
  </r>
  <r>
    <s v="ORD200290"/>
    <s v="2023-05-05"/>
    <s v="C24901"/>
    <x v="3"/>
    <n v="3"/>
    <n v="99.9"/>
    <s v="258 Main St"/>
    <x v="4"/>
    <x v="3"/>
    <s v="TRK14029489"/>
    <n v="8"/>
    <s v="FREESHIP"/>
    <x v="3"/>
    <n v="299.7"/>
  </r>
  <r>
    <s v="ORD200291"/>
    <s v="2024-05-12"/>
    <s v="C61521"/>
    <x v="1"/>
    <n v="2"/>
    <n v="345.01"/>
    <s v="670 Main St"/>
    <x v="2"/>
    <x v="3"/>
    <s v="TRK93676567"/>
    <n v="6"/>
    <s v="FREESHIP"/>
    <x v="4"/>
    <n v="690.02"/>
  </r>
  <r>
    <s v="ORD200292"/>
    <s v="2025-01-15"/>
    <s v="C39639"/>
    <x v="0"/>
    <n v="1"/>
    <n v="65.95"/>
    <s v="185 Main St"/>
    <x v="2"/>
    <x v="3"/>
    <s v="TRK31042152"/>
    <n v="5"/>
    <s v="None"/>
    <x v="3"/>
    <n v="65.95"/>
  </r>
  <r>
    <s v="ORD200293"/>
    <s v="2023-02-16"/>
    <s v="C33220"/>
    <x v="2"/>
    <n v="4"/>
    <n v="463.04"/>
    <s v="564 Main St"/>
    <x v="3"/>
    <x v="2"/>
    <s v="TRK40450219"/>
    <n v="9"/>
    <s v="None"/>
    <x v="0"/>
    <n v="1852.16"/>
  </r>
  <r>
    <s v="ORD200294"/>
    <s v="2025-04-01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s v="2023-01-25"/>
    <s v="C49009"/>
    <x v="4"/>
    <n v="5"/>
    <n v="107.48"/>
    <s v="278 Main St"/>
    <x v="0"/>
    <x v="1"/>
    <s v="TRK46285799"/>
    <n v="9"/>
    <s v="FREESHIP"/>
    <x v="2"/>
    <n v="537.4"/>
  </r>
  <r>
    <s v="ORD200296"/>
    <s v="2024-06-19"/>
    <s v="C48453"/>
    <x v="6"/>
    <n v="5"/>
    <n v="638.79999999999995"/>
    <s v="434 Main St"/>
    <x v="0"/>
    <x v="1"/>
    <s v="TRK52110494"/>
    <n v="10"/>
    <s v="WINTER15"/>
    <x v="1"/>
    <n v="3194"/>
  </r>
  <r>
    <s v="ORD200297"/>
    <s v="2023-02-22"/>
    <s v="C68078"/>
    <x v="6"/>
    <n v="2"/>
    <n v="493.88"/>
    <s v="252 Main St"/>
    <x v="2"/>
    <x v="2"/>
    <s v="TRK64862812"/>
    <n v="7"/>
    <s v="SAVE10"/>
    <x v="0"/>
    <n v="987.76"/>
  </r>
  <r>
    <s v="ORD200298"/>
    <s v="2023-12-19"/>
    <s v="C19402"/>
    <x v="4"/>
    <n v="4"/>
    <n v="301.17"/>
    <s v="267 Main St"/>
    <x v="1"/>
    <x v="1"/>
    <s v="TRK97825212"/>
    <n v="6"/>
    <s v="None"/>
    <x v="2"/>
    <n v="1204.68"/>
  </r>
  <r>
    <s v="ORD200299"/>
    <s v="2024-01-2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s v="2024-09-02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s v="2023-05-11"/>
    <s v="C31105"/>
    <x v="3"/>
    <n v="1"/>
    <n v="583.99"/>
    <s v="726 Main St"/>
    <x v="4"/>
    <x v="1"/>
    <s v="TRK40149095"/>
    <n v="2"/>
    <s v="SAVE10"/>
    <x v="2"/>
    <n v="583.99"/>
  </r>
  <r>
    <s v="ORD200302"/>
    <s v="2023-05-16"/>
    <s v="C29432"/>
    <x v="3"/>
    <n v="3"/>
    <n v="468.74"/>
    <s v="121 Main St"/>
    <x v="4"/>
    <x v="4"/>
    <s v="TRK44142517"/>
    <n v="4"/>
    <s v="FREESHIP"/>
    <x v="0"/>
    <n v="1406.22"/>
  </r>
  <r>
    <s v="ORD200303"/>
    <s v="2024-12-07"/>
    <s v="C48531"/>
    <x v="2"/>
    <n v="1"/>
    <n v="30.54"/>
    <s v="368 Main St"/>
    <x v="0"/>
    <x v="2"/>
    <s v="TRK95462192"/>
    <n v="1"/>
    <s v="None"/>
    <x v="4"/>
    <n v="30.54"/>
  </r>
  <r>
    <s v="ORD200304"/>
    <s v="2024-10-18"/>
    <s v="C86762"/>
    <x v="0"/>
    <n v="5"/>
    <n v="408.73"/>
    <s v="326 Main St"/>
    <x v="3"/>
    <x v="3"/>
    <s v="TRK75686292"/>
    <n v="10"/>
    <s v="FREESHIP"/>
    <x v="0"/>
    <n v="2043.65"/>
  </r>
  <r>
    <s v="ORD200305"/>
    <s v="2023-11-25"/>
    <s v="C63822"/>
    <x v="5"/>
    <n v="4"/>
    <n v="126.89"/>
    <s v="235 Main St"/>
    <x v="4"/>
    <x v="4"/>
    <s v="TRK59353216"/>
    <n v="9"/>
    <s v="FREESHIP"/>
    <x v="0"/>
    <n v="507.56"/>
  </r>
  <r>
    <s v="ORD200306"/>
    <s v="2024-06-07"/>
    <s v="C70495"/>
    <x v="4"/>
    <n v="2"/>
    <n v="57.07"/>
    <s v="238 Main St"/>
    <x v="0"/>
    <x v="2"/>
    <s v="TRK65511225"/>
    <n v="3"/>
    <s v="SAVE10"/>
    <x v="0"/>
    <n v="114.14"/>
  </r>
  <r>
    <s v="ORD200307"/>
    <s v="2023-07-01"/>
    <s v="C92407"/>
    <x v="5"/>
    <n v="3"/>
    <n v="557.41"/>
    <s v="135 Main St"/>
    <x v="1"/>
    <x v="3"/>
    <s v="TRK11755610"/>
    <n v="4"/>
    <s v="None"/>
    <x v="2"/>
    <n v="1672.23"/>
  </r>
  <r>
    <s v="ORD200308"/>
    <s v="2023-12-11"/>
    <s v="C75888"/>
    <x v="4"/>
    <n v="3"/>
    <n v="448.9"/>
    <s v="790 Main St"/>
    <x v="0"/>
    <x v="2"/>
    <s v="TRK98467398"/>
    <n v="7"/>
    <s v="SAVE10"/>
    <x v="0"/>
    <n v="1346.7"/>
  </r>
  <r>
    <s v="ORD200309"/>
    <s v="2023-10-03"/>
    <s v="C63153"/>
    <x v="3"/>
    <n v="4"/>
    <n v="549.76"/>
    <s v="625 Main St"/>
    <x v="0"/>
    <x v="3"/>
    <s v="TRK38033305"/>
    <n v="4"/>
    <s v="FREESHIP"/>
    <x v="3"/>
    <n v="2199.04"/>
  </r>
  <r>
    <s v="ORD200310"/>
    <s v="2024-02-24"/>
    <s v="C85863"/>
    <x v="4"/>
    <n v="3"/>
    <n v="132.47999999999999"/>
    <s v="968 Main St"/>
    <x v="1"/>
    <x v="0"/>
    <s v="TRK16094218"/>
    <n v="4"/>
    <s v="None"/>
    <x v="1"/>
    <n v="397.44"/>
  </r>
  <r>
    <s v="ORD200311"/>
    <s v="2025-05-17"/>
    <s v="C71698"/>
    <x v="6"/>
    <n v="5"/>
    <n v="489.37"/>
    <s v="274 Main St"/>
    <x v="1"/>
    <x v="2"/>
    <s v="TRK34786818"/>
    <n v="8"/>
    <s v="None"/>
    <x v="0"/>
    <n v="2446.85"/>
  </r>
  <r>
    <s v="ORD200312"/>
    <s v="2025-05-24"/>
    <s v="C35397"/>
    <x v="4"/>
    <n v="5"/>
    <n v="66.31"/>
    <s v="579 Main St"/>
    <x v="3"/>
    <x v="4"/>
    <s v="TRK64742535"/>
    <n v="7"/>
    <s v="FREESHIP"/>
    <x v="1"/>
    <n v="331.55"/>
  </r>
  <r>
    <s v="ORD200313"/>
    <s v="2023-07-09"/>
    <s v="C67687"/>
    <x v="3"/>
    <n v="2"/>
    <n v="434.3"/>
    <s v="978 Main St"/>
    <x v="4"/>
    <x v="3"/>
    <s v="TRK22838735"/>
    <n v="7"/>
    <s v="SAVE10"/>
    <x v="0"/>
    <n v="868.6"/>
  </r>
  <r>
    <s v="ORD200314"/>
    <s v="2023-10-04"/>
    <s v="C29931"/>
    <x v="6"/>
    <n v="4"/>
    <n v="153.09"/>
    <s v="540 Main St"/>
    <x v="1"/>
    <x v="3"/>
    <s v="TRK48712417"/>
    <n v="4"/>
    <s v="FREESHIP"/>
    <x v="1"/>
    <n v="612.36"/>
  </r>
  <r>
    <s v="ORD200315"/>
    <s v="2025-05-12"/>
    <s v="C59139"/>
    <x v="2"/>
    <n v="5"/>
    <n v="91.67"/>
    <s v="301 Main St"/>
    <x v="1"/>
    <x v="1"/>
    <s v="TRK45507090"/>
    <n v="9"/>
    <s v="FREESHIP"/>
    <x v="2"/>
    <n v="458.35"/>
  </r>
  <r>
    <s v="ORD200316"/>
    <s v="2023-10-02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s v="2023-04-10"/>
    <s v="C88370"/>
    <x v="0"/>
    <n v="2"/>
    <n v="139.94999999999999"/>
    <s v="339 Main St"/>
    <x v="1"/>
    <x v="2"/>
    <s v="TRK22575151"/>
    <n v="5"/>
    <s v="None"/>
    <x v="0"/>
    <n v="279.89999999999998"/>
  </r>
  <r>
    <s v="ORD200318"/>
    <s v="2024-07-27"/>
    <s v="C93375"/>
    <x v="3"/>
    <n v="3"/>
    <n v="148.72"/>
    <s v="317 Main St"/>
    <x v="0"/>
    <x v="1"/>
    <s v="TRK95706967"/>
    <n v="7"/>
    <s v="SAVE10"/>
    <x v="4"/>
    <n v="446.16"/>
  </r>
  <r>
    <s v="ORD200319"/>
    <s v="2023-12-02"/>
    <s v="C53049"/>
    <x v="5"/>
    <n v="2"/>
    <n v="563.05999999999995"/>
    <s v="413 Main St"/>
    <x v="4"/>
    <x v="2"/>
    <s v="TRK48974907"/>
    <n v="6"/>
    <s v="None"/>
    <x v="0"/>
    <n v="1126.1199999999999"/>
  </r>
  <r>
    <s v="ORD200320"/>
    <s v="2024-12-19"/>
    <s v="C55590"/>
    <x v="4"/>
    <n v="1"/>
    <n v="625.51"/>
    <s v="772 Main St"/>
    <x v="2"/>
    <x v="0"/>
    <s v="TRK48792951"/>
    <n v="1"/>
    <s v="FREESHIP"/>
    <x v="3"/>
    <n v="625.51"/>
  </r>
  <r>
    <s v="ORD200321"/>
    <s v="2023-08-09"/>
    <s v="C47086"/>
    <x v="1"/>
    <n v="4"/>
    <n v="152.29"/>
    <s v="135 Main St"/>
    <x v="0"/>
    <x v="1"/>
    <s v="TRK44194358"/>
    <n v="6"/>
    <s v="WINTER15"/>
    <x v="4"/>
    <n v="609.16"/>
  </r>
  <r>
    <s v="ORD200322"/>
    <s v="2024-06-14"/>
    <s v="C48646"/>
    <x v="1"/>
    <n v="5"/>
    <n v="231.82"/>
    <s v="339 Main St"/>
    <x v="0"/>
    <x v="3"/>
    <s v="TRK18233748"/>
    <n v="6"/>
    <s v="SAVE10"/>
    <x v="3"/>
    <n v="1159.0999999999999"/>
  </r>
  <r>
    <s v="ORD200323"/>
    <s v="2025-01-26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s v="2024-06-13"/>
    <s v="C13525"/>
    <x v="2"/>
    <n v="3"/>
    <n v="70.930000000000007"/>
    <s v="847 Main St"/>
    <x v="0"/>
    <x v="2"/>
    <s v="TRK70193221"/>
    <n v="5"/>
    <s v="None"/>
    <x v="1"/>
    <n v="212.79"/>
  </r>
  <r>
    <s v="ORD200325"/>
    <s v="2023-06-29"/>
    <s v="C53545"/>
    <x v="6"/>
    <n v="3"/>
    <n v="361.39"/>
    <s v="665 Main St"/>
    <x v="2"/>
    <x v="0"/>
    <s v="TRK61123177"/>
    <n v="8"/>
    <s v="None"/>
    <x v="1"/>
    <n v="1084.17"/>
  </r>
  <r>
    <s v="ORD200326"/>
    <s v="2024-07-01"/>
    <s v="C65986"/>
    <x v="5"/>
    <n v="5"/>
    <n v="670.48"/>
    <s v="273 Main St"/>
    <x v="3"/>
    <x v="2"/>
    <s v="TRK98353867"/>
    <n v="5"/>
    <s v="SAVE10"/>
    <x v="3"/>
    <n v="3352.4"/>
  </r>
  <r>
    <s v="ORD200327"/>
    <s v="2023-07-25"/>
    <s v="C17302"/>
    <x v="1"/>
    <n v="1"/>
    <n v="359.99"/>
    <s v="385 Main St"/>
    <x v="3"/>
    <x v="1"/>
    <s v="TRK43940016"/>
    <n v="5"/>
    <s v="SAVE10"/>
    <x v="2"/>
    <n v="359.99"/>
  </r>
  <r>
    <s v="ORD200328"/>
    <s v="2023-02-28"/>
    <s v="C18404"/>
    <x v="2"/>
    <n v="5"/>
    <n v="674.04"/>
    <s v="546 Main St"/>
    <x v="1"/>
    <x v="1"/>
    <s v="TRK89401624"/>
    <n v="7"/>
    <s v="SAVE10"/>
    <x v="4"/>
    <n v="3370.2"/>
  </r>
  <r>
    <s v="ORD200329"/>
    <s v="2024-12-25"/>
    <s v="C88371"/>
    <x v="3"/>
    <n v="4"/>
    <n v="283.16000000000003"/>
    <s v="306 Main St"/>
    <x v="2"/>
    <x v="0"/>
    <s v="TRK63224811"/>
    <n v="6"/>
    <s v="None"/>
    <x v="4"/>
    <n v="1132.6400000000001"/>
  </r>
  <r>
    <s v="ORD200330"/>
    <s v="2024-06-02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s v="2023-04-15"/>
    <s v="C78724"/>
    <x v="4"/>
    <n v="3"/>
    <n v="422.13"/>
    <s v="187 Main St"/>
    <x v="1"/>
    <x v="3"/>
    <s v="TRK25703134"/>
    <n v="7"/>
    <s v="SAVE10"/>
    <x v="3"/>
    <n v="1266.3900000000001"/>
  </r>
  <r>
    <s v="ORD200332"/>
    <s v="2024-07-03"/>
    <s v="C26163"/>
    <x v="6"/>
    <n v="5"/>
    <n v="125.02"/>
    <s v="607 Main St"/>
    <x v="0"/>
    <x v="4"/>
    <s v="TRK67499316"/>
    <n v="9"/>
    <s v="SAVE10"/>
    <x v="4"/>
    <n v="625.1"/>
  </r>
  <r>
    <s v="ORD200333"/>
    <s v="2024-04-16"/>
    <s v="C87124"/>
    <x v="1"/>
    <n v="1"/>
    <n v="198.51"/>
    <s v="818 Main St"/>
    <x v="2"/>
    <x v="2"/>
    <s v="TRK52086740"/>
    <n v="5"/>
    <s v="WINTER15"/>
    <x v="0"/>
    <n v="198.51"/>
  </r>
  <r>
    <s v="ORD200334"/>
    <s v="2024-03-26"/>
    <s v="C90348"/>
    <x v="3"/>
    <n v="4"/>
    <n v="224.75"/>
    <s v="728 Main St"/>
    <x v="1"/>
    <x v="3"/>
    <s v="TRK20635777"/>
    <n v="7"/>
    <s v="WINTER15"/>
    <x v="3"/>
    <n v="899"/>
  </r>
  <r>
    <s v="ORD200335"/>
    <s v="2025-03-03"/>
    <s v="C58721"/>
    <x v="2"/>
    <n v="3"/>
    <n v="205.86"/>
    <s v="978 Main St"/>
    <x v="3"/>
    <x v="0"/>
    <s v="TRK34801199"/>
    <n v="4"/>
    <s v="None"/>
    <x v="2"/>
    <n v="617.58000000000004"/>
  </r>
  <r>
    <s v="ORD200336"/>
    <s v="2023-12-29"/>
    <s v="C88174"/>
    <x v="5"/>
    <n v="1"/>
    <n v="18.2"/>
    <s v="441 Main St"/>
    <x v="0"/>
    <x v="4"/>
    <s v="TRK10143345"/>
    <n v="4"/>
    <s v="SAVE10"/>
    <x v="0"/>
    <n v="18.2"/>
  </r>
  <r>
    <s v="ORD200337"/>
    <s v="2023-05-29"/>
    <s v="C77763"/>
    <x v="2"/>
    <n v="3"/>
    <n v="502.77"/>
    <s v="599 Main St"/>
    <x v="0"/>
    <x v="2"/>
    <s v="TRK66980447"/>
    <n v="8"/>
    <s v="WINTER15"/>
    <x v="2"/>
    <n v="1508.31"/>
  </r>
  <r>
    <s v="ORD200338"/>
    <s v="2023-11-08"/>
    <s v="C53627"/>
    <x v="1"/>
    <n v="5"/>
    <n v="305.49"/>
    <s v="704 Main St"/>
    <x v="0"/>
    <x v="0"/>
    <s v="TRK64112352"/>
    <n v="10"/>
    <s v="None"/>
    <x v="1"/>
    <n v="1527.45"/>
  </r>
  <r>
    <s v="ORD200339"/>
    <s v="2024-04-10"/>
    <s v="C84563"/>
    <x v="4"/>
    <n v="2"/>
    <n v="236.33"/>
    <s v="398 Main St"/>
    <x v="1"/>
    <x v="4"/>
    <s v="TRK62422797"/>
    <n v="3"/>
    <s v="SAVE10"/>
    <x v="0"/>
    <n v="472.66"/>
  </r>
  <r>
    <s v="ORD200340"/>
    <s v="2023-04-23"/>
    <s v="C76207"/>
    <x v="5"/>
    <n v="5"/>
    <n v="521.25"/>
    <s v="826 Main St"/>
    <x v="4"/>
    <x v="1"/>
    <s v="TRK25569378"/>
    <n v="8"/>
    <s v="None"/>
    <x v="2"/>
    <n v="2606.25"/>
  </r>
  <r>
    <s v="ORD200341"/>
    <s v="2024-09-23"/>
    <s v="C94671"/>
    <x v="2"/>
    <n v="1"/>
    <n v="167.15"/>
    <s v="293 Main St"/>
    <x v="3"/>
    <x v="0"/>
    <s v="TRK61357272"/>
    <n v="5"/>
    <s v="WINTER15"/>
    <x v="2"/>
    <n v="167.15"/>
  </r>
  <r>
    <s v="ORD200342"/>
    <s v="2025-06-24"/>
    <s v="C69994"/>
    <x v="0"/>
    <n v="5"/>
    <n v="466.42"/>
    <s v="619 Main St"/>
    <x v="3"/>
    <x v="2"/>
    <s v="TRK95935805"/>
    <n v="5"/>
    <s v="None"/>
    <x v="1"/>
    <n v="2332.1"/>
  </r>
  <r>
    <s v="ORD200343"/>
    <s v="2023-02-26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s v="2025-03-06"/>
    <s v="C95623"/>
    <x v="2"/>
    <n v="3"/>
    <n v="623.34"/>
    <s v="248 Main St"/>
    <x v="1"/>
    <x v="1"/>
    <s v="TRK67558189"/>
    <n v="3"/>
    <s v="SAVE10"/>
    <x v="0"/>
    <n v="1870.02"/>
  </r>
  <r>
    <s v="ORD200345"/>
    <s v="2023-12-07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s v="2024-12-06"/>
    <s v="C31764"/>
    <x v="2"/>
    <n v="1"/>
    <n v="655.09"/>
    <s v="876 Main St"/>
    <x v="4"/>
    <x v="4"/>
    <s v="TRK44680433"/>
    <n v="6"/>
    <s v="None"/>
    <x v="1"/>
    <n v="655.09"/>
  </r>
  <r>
    <s v="ORD200347"/>
    <s v="2024-02-03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s v="2024-03-13"/>
    <s v="C24369"/>
    <x v="5"/>
    <n v="3"/>
    <n v="359.73"/>
    <s v="885 Main St"/>
    <x v="0"/>
    <x v="2"/>
    <s v="TRK72633998"/>
    <n v="7"/>
    <s v="FREESHIP"/>
    <x v="2"/>
    <n v="1079.19"/>
  </r>
  <r>
    <s v="ORD200349"/>
    <s v="2023-11-30"/>
    <s v="C39648"/>
    <x v="3"/>
    <n v="1"/>
    <n v="465.33"/>
    <s v="824 Main St"/>
    <x v="3"/>
    <x v="3"/>
    <s v="TRK56016905"/>
    <n v="2"/>
    <s v="FREESHIP"/>
    <x v="4"/>
    <n v="465.33"/>
  </r>
  <r>
    <s v="ORD200350"/>
    <s v="2023-06-03"/>
    <s v="C13296"/>
    <x v="3"/>
    <n v="2"/>
    <n v="54.41"/>
    <s v="495 Main St"/>
    <x v="1"/>
    <x v="0"/>
    <s v="TRK60127216"/>
    <n v="6"/>
    <s v="None"/>
    <x v="0"/>
    <n v="108.82"/>
  </r>
  <r>
    <s v="ORD200351"/>
    <s v="2025-02-15"/>
    <s v="C94248"/>
    <x v="5"/>
    <n v="1"/>
    <n v="64.66"/>
    <s v="494 Main St"/>
    <x v="0"/>
    <x v="3"/>
    <s v="TRK89406816"/>
    <n v="4"/>
    <s v="None"/>
    <x v="0"/>
    <n v="64.66"/>
  </r>
  <r>
    <s v="ORD200352"/>
    <s v="2023-08-31"/>
    <s v="C26637"/>
    <x v="3"/>
    <n v="5"/>
    <n v="173.96"/>
    <s v="995 Main St"/>
    <x v="0"/>
    <x v="4"/>
    <s v="TRK59546992"/>
    <n v="8"/>
    <s v="WINTER15"/>
    <x v="0"/>
    <n v="869.8"/>
  </r>
  <r>
    <s v="ORD200353"/>
    <s v="2025-03-28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s v="2023-07-11"/>
    <s v="C31772"/>
    <x v="1"/>
    <n v="1"/>
    <n v="693.41"/>
    <s v="992 Main St"/>
    <x v="0"/>
    <x v="0"/>
    <s v="TRK11970357"/>
    <n v="4"/>
    <s v="None"/>
    <x v="0"/>
    <n v="693.41"/>
  </r>
  <r>
    <s v="ORD200355"/>
    <s v="2025-06-03"/>
    <s v="C18353"/>
    <x v="2"/>
    <n v="3"/>
    <n v="433.33"/>
    <s v="677 Main St"/>
    <x v="2"/>
    <x v="1"/>
    <s v="TRK78766533"/>
    <n v="4"/>
    <s v="FREESHIP"/>
    <x v="1"/>
    <n v="1299.99"/>
  </r>
  <r>
    <s v="ORD200356"/>
    <s v="2023-05-06"/>
    <s v="C26966"/>
    <x v="4"/>
    <n v="5"/>
    <n v="374.58"/>
    <s v="907 Main St"/>
    <x v="3"/>
    <x v="1"/>
    <s v="TRK83889574"/>
    <n v="10"/>
    <s v="FREESHIP"/>
    <x v="0"/>
    <n v="1872.9"/>
  </r>
  <r>
    <s v="ORD200357"/>
    <s v="2023-07-08"/>
    <s v="C74982"/>
    <x v="5"/>
    <n v="5"/>
    <n v="408.56"/>
    <s v="398 Main St"/>
    <x v="0"/>
    <x v="3"/>
    <s v="TRK98700702"/>
    <n v="8"/>
    <s v="FREESHIP"/>
    <x v="0"/>
    <n v="2042.8"/>
  </r>
  <r>
    <s v="ORD200358"/>
    <s v="2024-04-07"/>
    <s v="C70633"/>
    <x v="2"/>
    <n v="2"/>
    <n v="183.67"/>
    <s v="747 Main St"/>
    <x v="1"/>
    <x v="1"/>
    <s v="TRK82540521"/>
    <n v="3"/>
    <s v="SAVE10"/>
    <x v="4"/>
    <n v="367.34"/>
  </r>
  <r>
    <s v="ORD200359"/>
    <s v="2023-06-09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s v="2024-06-06"/>
    <s v="C53810"/>
    <x v="1"/>
    <n v="4"/>
    <n v="589.57000000000005"/>
    <s v="779 Main St"/>
    <x v="4"/>
    <x v="4"/>
    <s v="TRK34630612"/>
    <n v="8"/>
    <s v="None"/>
    <x v="0"/>
    <n v="2358.2800000000002"/>
  </r>
  <r>
    <s v="ORD200361"/>
    <s v="2024-06-29"/>
    <s v="C53464"/>
    <x v="4"/>
    <n v="5"/>
    <n v="659.85"/>
    <s v="197 Main St"/>
    <x v="2"/>
    <x v="3"/>
    <s v="TRK32743531"/>
    <n v="9"/>
    <s v="SAVE10"/>
    <x v="3"/>
    <n v="3299.25"/>
  </r>
  <r>
    <s v="ORD200362"/>
    <s v="2023-06-27"/>
    <s v="C53697"/>
    <x v="0"/>
    <n v="4"/>
    <n v="206.84"/>
    <s v="312 Main St"/>
    <x v="4"/>
    <x v="1"/>
    <s v="TRK60476656"/>
    <n v="5"/>
    <s v="WINTER15"/>
    <x v="0"/>
    <n v="827.36"/>
  </r>
  <r>
    <s v="ORD200363"/>
    <s v="2024-05-24"/>
    <s v="C31668"/>
    <x v="5"/>
    <n v="5"/>
    <n v="113.87"/>
    <s v="871 Main St"/>
    <x v="2"/>
    <x v="4"/>
    <s v="TRK42584392"/>
    <n v="6"/>
    <s v="SAVE10"/>
    <x v="2"/>
    <n v="569.35"/>
  </r>
  <r>
    <s v="ORD200364"/>
    <s v="2023-11-24"/>
    <s v="C85282"/>
    <x v="1"/>
    <n v="5"/>
    <n v="628.74"/>
    <s v="740 Main St"/>
    <x v="4"/>
    <x v="1"/>
    <s v="TRK86767206"/>
    <n v="9"/>
    <s v="FREESHIP"/>
    <x v="3"/>
    <n v="3143.7"/>
  </r>
  <r>
    <s v="ORD200365"/>
    <s v="2025-02-14"/>
    <s v="C56796"/>
    <x v="1"/>
    <n v="1"/>
    <n v="678.38"/>
    <s v="607 Main St"/>
    <x v="2"/>
    <x v="1"/>
    <s v="TRK74263180"/>
    <n v="4"/>
    <s v="SAVE10"/>
    <x v="1"/>
    <n v="678.38"/>
  </r>
  <r>
    <s v="ORD200366"/>
    <s v="2023-02-10"/>
    <s v="C95213"/>
    <x v="4"/>
    <n v="3"/>
    <n v="602.24"/>
    <s v="603 Main St"/>
    <x v="0"/>
    <x v="4"/>
    <s v="TRK40630538"/>
    <n v="8"/>
    <s v="None"/>
    <x v="1"/>
    <n v="1806.72"/>
  </r>
  <r>
    <s v="ORD200367"/>
    <s v="2024-04-25"/>
    <s v="C13108"/>
    <x v="5"/>
    <n v="5"/>
    <n v="658.77"/>
    <s v="712 Main St"/>
    <x v="3"/>
    <x v="4"/>
    <s v="TRK82284400"/>
    <n v="10"/>
    <s v="FREESHIP"/>
    <x v="0"/>
    <n v="3293.85"/>
  </r>
  <r>
    <s v="ORD200368"/>
    <s v="2023-05-01"/>
    <s v="C85322"/>
    <x v="0"/>
    <n v="3"/>
    <n v="271.02"/>
    <s v="403 Main St"/>
    <x v="2"/>
    <x v="1"/>
    <s v="TRK89728869"/>
    <n v="6"/>
    <s v="None"/>
    <x v="4"/>
    <n v="813.06"/>
  </r>
  <r>
    <s v="ORD200369"/>
    <s v="2024-12-22"/>
    <s v="C43545"/>
    <x v="0"/>
    <n v="5"/>
    <n v="375.25"/>
    <s v="216 Main St"/>
    <x v="3"/>
    <x v="4"/>
    <s v="TRK73937402"/>
    <n v="9"/>
    <s v="SAVE10"/>
    <x v="2"/>
    <n v="1876.25"/>
  </r>
  <r>
    <s v="ORD200370"/>
    <s v="2025-05-03"/>
    <s v="C80649"/>
    <x v="1"/>
    <n v="1"/>
    <n v="312.11"/>
    <s v="870 Main St"/>
    <x v="1"/>
    <x v="1"/>
    <s v="TRK41143313"/>
    <n v="4"/>
    <s v="WINTER15"/>
    <x v="3"/>
    <n v="312.11"/>
  </r>
  <r>
    <s v="ORD200371"/>
    <s v="2023-01-05"/>
    <s v="C59752"/>
    <x v="1"/>
    <n v="5"/>
    <n v="307.76"/>
    <s v="179 Main St"/>
    <x v="3"/>
    <x v="4"/>
    <s v="TRK82229639"/>
    <n v="9"/>
    <s v="FREESHIP"/>
    <x v="4"/>
    <n v="1538.8"/>
  </r>
  <r>
    <s v="ORD200372"/>
    <s v="2025-02-14"/>
    <s v="C53645"/>
    <x v="3"/>
    <n v="3"/>
    <n v="483.53"/>
    <s v="166 Main St"/>
    <x v="4"/>
    <x v="2"/>
    <s v="TRK12123939"/>
    <n v="4"/>
    <s v="None"/>
    <x v="1"/>
    <n v="1450.59"/>
  </r>
  <r>
    <s v="ORD200373"/>
    <s v="2023-01-02"/>
    <s v="C60178"/>
    <x v="5"/>
    <n v="3"/>
    <n v="341.15"/>
    <s v="969 Main St"/>
    <x v="4"/>
    <x v="4"/>
    <s v="TRK84505143"/>
    <n v="4"/>
    <s v="FREESHIP"/>
    <x v="0"/>
    <n v="1023.45"/>
  </r>
  <r>
    <s v="ORD200374"/>
    <s v="2024-09-16"/>
    <s v="C20286"/>
    <x v="0"/>
    <n v="1"/>
    <n v="571.9"/>
    <s v="129 Main St"/>
    <x v="3"/>
    <x v="4"/>
    <s v="TRK67648338"/>
    <n v="1"/>
    <s v="WINTER15"/>
    <x v="0"/>
    <n v="571.9"/>
  </r>
  <r>
    <s v="ORD200375"/>
    <s v="2025-01-16"/>
    <s v="C87547"/>
    <x v="0"/>
    <n v="4"/>
    <n v="95.03"/>
    <s v="400 Main St"/>
    <x v="1"/>
    <x v="0"/>
    <s v="TRK71027262"/>
    <n v="8"/>
    <s v="FREESHIP"/>
    <x v="3"/>
    <n v="380.12"/>
  </r>
  <r>
    <s v="ORD200376"/>
    <s v="2023-08-24"/>
    <s v="C64549"/>
    <x v="0"/>
    <n v="5"/>
    <n v="201.22"/>
    <s v="341 Main St"/>
    <x v="0"/>
    <x v="4"/>
    <s v="TRK20788231"/>
    <n v="6"/>
    <s v="FREESHIP"/>
    <x v="3"/>
    <n v="1006.1"/>
  </r>
  <r>
    <s v="ORD200377"/>
    <s v="2024-07-22"/>
    <s v="C24884"/>
    <x v="0"/>
    <n v="1"/>
    <n v="260.26"/>
    <s v="625 Main St"/>
    <x v="1"/>
    <x v="4"/>
    <s v="TRK44538419"/>
    <n v="5"/>
    <s v="WINTER15"/>
    <x v="0"/>
    <n v="260.26"/>
  </r>
  <r>
    <s v="ORD200378"/>
    <s v="2024-02-01"/>
    <s v="C62666"/>
    <x v="3"/>
    <n v="5"/>
    <n v="64.5"/>
    <s v="148 Main St"/>
    <x v="2"/>
    <x v="4"/>
    <s v="TRK91029390"/>
    <n v="8"/>
    <s v="WINTER15"/>
    <x v="0"/>
    <n v="322.5"/>
  </r>
  <r>
    <s v="ORD200379"/>
    <s v="2024-09-21"/>
    <s v="C47284"/>
    <x v="1"/>
    <n v="3"/>
    <n v="297.67"/>
    <s v="500 Main St"/>
    <x v="1"/>
    <x v="0"/>
    <s v="TRK85756094"/>
    <n v="6"/>
    <s v="None"/>
    <x v="4"/>
    <n v="893.01"/>
  </r>
  <r>
    <s v="ORD200380"/>
    <s v="2024-04-20"/>
    <s v="C35355"/>
    <x v="4"/>
    <n v="4"/>
    <n v="331.9"/>
    <s v="127 Main St"/>
    <x v="4"/>
    <x v="4"/>
    <s v="TRK52935059"/>
    <n v="5"/>
    <s v="SAVE10"/>
    <x v="0"/>
    <n v="1327.6"/>
  </r>
  <r>
    <s v="ORD200381"/>
    <s v="2023-06-07"/>
    <s v="C29467"/>
    <x v="3"/>
    <n v="1"/>
    <n v="191.76"/>
    <s v="223 Main St"/>
    <x v="2"/>
    <x v="2"/>
    <s v="TRK98103385"/>
    <n v="1"/>
    <s v="FREESHIP"/>
    <x v="0"/>
    <n v="191.76"/>
  </r>
  <r>
    <s v="ORD200382"/>
    <s v="2025-01-3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s v="2023-01-20"/>
    <s v="C18944"/>
    <x v="3"/>
    <n v="4"/>
    <n v="393.8"/>
    <s v="837 Main St"/>
    <x v="2"/>
    <x v="4"/>
    <s v="TRK45275439"/>
    <n v="7"/>
    <s v="SAVE10"/>
    <x v="2"/>
    <n v="1575.2"/>
  </r>
  <r>
    <s v="ORD200384"/>
    <s v="2024-11-24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s v="2023-10-31"/>
    <s v="C56851"/>
    <x v="3"/>
    <n v="5"/>
    <n v="191.63"/>
    <s v="752 Main St"/>
    <x v="3"/>
    <x v="3"/>
    <s v="TRK65290904"/>
    <n v="6"/>
    <s v="FREESHIP"/>
    <x v="3"/>
    <n v="958.15"/>
  </r>
  <r>
    <s v="ORD200386"/>
    <s v="2023-04-28"/>
    <s v="C12421"/>
    <x v="2"/>
    <n v="1"/>
    <n v="93.02"/>
    <s v="373 Main St"/>
    <x v="1"/>
    <x v="2"/>
    <s v="TRK32588504"/>
    <n v="4"/>
    <s v="None"/>
    <x v="2"/>
    <n v="93.02"/>
  </r>
  <r>
    <s v="ORD200387"/>
    <s v="2024-06-27"/>
    <s v="C25316"/>
    <x v="4"/>
    <n v="2"/>
    <n v="39.53"/>
    <s v="904 Main St"/>
    <x v="2"/>
    <x v="0"/>
    <s v="TRK55423551"/>
    <n v="3"/>
    <s v="WINTER15"/>
    <x v="4"/>
    <n v="79.06"/>
  </r>
  <r>
    <s v="ORD200388"/>
    <s v="2023-12-28"/>
    <s v="C22657"/>
    <x v="4"/>
    <n v="3"/>
    <n v="633.97"/>
    <s v="152 Main St"/>
    <x v="4"/>
    <x v="4"/>
    <s v="TRK49157047"/>
    <n v="7"/>
    <s v="WINTER15"/>
    <x v="3"/>
    <n v="1901.91"/>
  </r>
  <r>
    <s v="ORD200389"/>
    <s v="2023-12-17"/>
    <s v="C29703"/>
    <x v="6"/>
    <n v="4"/>
    <n v="697.5"/>
    <s v="558 Main St"/>
    <x v="4"/>
    <x v="0"/>
    <s v="TRK40543461"/>
    <n v="7"/>
    <s v="FREESHIP"/>
    <x v="1"/>
    <n v="2790"/>
  </r>
  <r>
    <s v="ORD200390"/>
    <s v="2023-07-14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s v="2025-01-16"/>
    <s v="C60037"/>
    <x v="5"/>
    <n v="2"/>
    <n v="527.46"/>
    <s v="516 Main St"/>
    <x v="0"/>
    <x v="1"/>
    <s v="TRK82009557"/>
    <n v="3"/>
    <s v="FREESHIP"/>
    <x v="1"/>
    <n v="1054.92"/>
  </r>
  <r>
    <s v="ORD200392"/>
    <s v="2024-02-28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s v="2024-07-14"/>
    <s v="C39906"/>
    <x v="4"/>
    <n v="1"/>
    <n v="75.010000000000005"/>
    <s v="921 Main St"/>
    <x v="2"/>
    <x v="2"/>
    <s v="TRK24632134"/>
    <n v="3"/>
    <s v="None"/>
    <x v="4"/>
    <n v="75.010000000000005"/>
  </r>
  <r>
    <s v="ORD200394"/>
    <s v="2023-07-05"/>
    <s v="C70148"/>
    <x v="6"/>
    <n v="5"/>
    <n v="529.54999999999995"/>
    <s v="359 Main St"/>
    <x v="3"/>
    <x v="0"/>
    <s v="TRK34848650"/>
    <n v="10"/>
    <s v="None"/>
    <x v="3"/>
    <n v="2647.75"/>
  </r>
  <r>
    <s v="ORD200395"/>
    <s v="2025-04-25"/>
    <s v="C30010"/>
    <x v="1"/>
    <n v="3"/>
    <n v="127.41"/>
    <s v="830 Main St"/>
    <x v="3"/>
    <x v="3"/>
    <s v="TRK35386084"/>
    <n v="7"/>
    <s v="SAVE10"/>
    <x v="1"/>
    <n v="382.23"/>
  </r>
  <r>
    <s v="ORD200396"/>
    <s v="2023-12-01"/>
    <s v="C99217"/>
    <x v="2"/>
    <n v="5"/>
    <n v="287.13"/>
    <s v="778 Main St"/>
    <x v="1"/>
    <x v="0"/>
    <s v="TRK82004594"/>
    <n v="10"/>
    <s v="SAVE10"/>
    <x v="2"/>
    <n v="1435.65"/>
  </r>
  <r>
    <s v="ORD200397"/>
    <s v="2023-09-28"/>
    <s v="C30184"/>
    <x v="0"/>
    <n v="1"/>
    <n v="427.06"/>
    <s v="987 Main St"/>
    <x v="1"/>
    <x v="1"/>
    <s v="TRK86674704"/>
    <n v="1"/>
    <s v="WINTER15"/>
    <x v="1"/>
    <n v="427.06"/>
  </r>
  <r>
    <s v="ORD200398"/>
    <s v="2024-09-04"/>
    <s v="C50275"/>
    <x v="1"/>
    <n v="5"/>
    <n v="53.93"/>
    <s v="729 Main St"/>
    <x v="3"/>
    <x v="0"/>
    <s v="TRK98925264"/>
    <n v="7"/>
    <s v="SAVE10"/>
    <x v="0"/>
    <n v="269.64999999999998"/>
  </r>
  <r>
    <s v="ORD200399"/>
    <s v="2024-01-07"/>
    <s v="C64641"/>
    <x v="2"/>
    <n v="5"/>
    <n v="423.93"/>
    <s v="319 Main St"/>
    <x v="0"/>
    <x v="2"/>
    <s v="TRK32012588"/>
    <n v="5"/>
    <s v="FREESHIP"/>
    <x v="3"/>
    <n v="2119.65"/>
  </r>
  <r>
    <s v="ORD200400"/>
    <s v="2024-09-28"/>
    <s v="C56266"/>
    <x v="6"/>
    <n v="4"/>
    <n v="160.22"/>
    <s v="304 Main St"/>
    <x v="0"/>
    <x v="2"/>
    <s v="TRK60088901"/>
    <n v="9"/>
    <s v="WINTER15"/>
    <x v="0"/>
    <n v="640.88"/>
  </r>
  <r>
    <s v="ORD200401"/>
    <s v="2025-04-09"/>
    <s v="C98635"/>
    <x v="4"/>
    <n v="1"/>
    <n v="538.67999999999995"/>
    <s v="197 Main St"/>
    <x v="0"/>
    <x v="2"/>
    <s v="TRK14225465"/>
    <n v="6"/>
    <s v="None"/>
    <x v="1"/>
    <n v="538.67999999999995"/>
  </r>
  <r>
    <s v="ORD200402"/>
    <s v="2023-04-09"/>
    <s v="C83026"/>
    <x v="4"/>
    <n v="5"/>
    <n v="337.38"/>
    <s v="858 Main St"/>
    <x v="3"/>
    <x v="0"/>
    <s v="TRK79746259"/>
    <n v="5"/>
    <s v="None"/>
    <x v="1"/>
    <n v="1686.9"/>
  </r>
  <r>
    <s v="ORD200403"/>
    <s v="2024-11-10"/>
    <s v="C28893"/>
    <x v="2"/>
    <n v="1"/>
    <n v="620.21"/>
    <s v="740 Main St"/>
    <x v="1"/>
    <x v="2"/>
    <s v="TRK98333066"/>
    <n v="1"/>
    <s v="FREESHIP"/>
    <x v="1"/>
    <n v="620.21"/>
  </r>
  <r>
    <s v="ORD200404"/>
    <s v="2023-03-09"/>
    <s v="C45482"/>
    <x v="0"/>
    <n v="2"/>
    <n v="99.1"/>
    <s v="440 Main St"/>
    <x v="4"/>
    <x v="3"/>
    <s v="TRK54571699"/>
    <n v="6"/>
    <s v="None"/>
    <x v="0"/>
    <n v="198.2"/>
  </r>
  <r>
    <s v="ORD200405"/>
    <s v="2025-01-26"/>
    <s v="C97774"/>
    <x v="0"/>
    <n v="4"/>
    <n v="451.97"/>
    <s v="603 Main St"/>
    <x v="1"/>
    <x v="1"/>
    <s v="TRK64664424"/>
    <n v="7"/>
    <s v="WINTER15"/>
    <x v="2"/>
    <n v="1807.88"/>
  </r>
  <r>
    <s v="ORD200406"/>
    <s v="2023-12-1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s v="2023-08-13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s v="2025-01-0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s v="2023-06-28"/>
    <s v="C45187"/>
    <x v="6"/>
    <n v="5"/>
    <n v="84.13"/>
    <s v="767 Main St"/>
    <x v="1"/>
    <x v="3"/>
    <s v="TRK12320793"/>
    <n v="9"/>
    <s v="SAVE10"/>
    <x v="4"/>
    <n v="420.65"/>
  </r>
  <r>
    <s v="ORD200410"/>
    <s v="2024-01-18"/>
    <s v="C37375"/>
    <x v="2"/>
    <n v="2"/>
    <n v="518.23"/>
    <s v="184 Main St"/>
    <x v="0"/>
    <x v="0"/>
    <s v="TRK52470162"/>
    <n v="5"/>
    <s v="None"/>
    <x v="2"/>
    <n v="1036.46"/>
  </r>
  <r>
    <s v="ORD200411"/>
    <s v="2024-06-19"/>
    <s v="C66567"/>
    <x v="6"/>
    <n v="2"/>
    <n v="39.51"/>
    <s v="981 Main St"/>
    <x v="1"/>
    <x v="0"/>
    <s v="TRK21174822"/>
    <n v="5"/>
    <s v="None"/>
    <x v="3"/>
    <n v="79.02"/>
  </r>
  <r>
    <s v="ORD200412"/>
    <s v="2025-04-11"/>
    <s v="C42451"/>
    <x v="2"/>
    <n v="5"/>
    <n v="133.01"/>
    <s v="246 Main St"/>
    <x v="2"/>
    <x v="2"/>
    <s v="TRK31313343"/>
    <n v="10"/>
    <s v="None"/>
    <x v="3"/>
    <n v="665.05"/>
  </r>
  <r>
    <s v="ORD200413"/>
    <s v="2023-10-08"/>
    <s v="C13923"/>
    <x v="2"/>
    <n v="1"/>
    <n v="118.8"/>
    <s v="123 Main St"/>
    <x v="1"/>
    <x v="3"/>
    <s v="TRK87598790"/>
    <n v="6"/>
    <s v="SAVE10"/>
    <x v="2"/>
    <n v="118.8"/>
  </r>
  <r>
    <s v="ORD200414"/>
    <s v="2025-05-04"/>
    <s v="C11829"/>
    <x v="6"/>
    <n v="2"/>
    <n v="139.57"/>
    <s v="797 Main St"/>
    <x v="4"/>
    <x v="3"/>
    <s v="TRK84229257"/>
    <n v="4"/>
    <s v="WINTER15"/>
    <x v="3"/>
    <n v="279.14"/>
  </r>
  <r>
    <s v="ORD200415"/>
    <s v="2025-04-06"/>
    <s v="C62169"/>
    <x v="3"/>
    <n v="1"/>
    <n v="184.15"/>
    <s v="655 Main St"/>
    <x v="3"/>
    <x v="0"/>
    <s v="TRK64558985"/>
    <n v="5"/>
    <s v="FREESHIP"/>
    <x v="3"/>
    <n v="184.15"/>
  </r>
  <r>
    <s v="ORD200416"/>
    <s v="2023-07-18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s v="2023-10-24"/>
    <s v="C44492"/>
    <x v="5"/>
    <n v="5"/>
    <n v="55.41"/>
    <s v="954 Main St"/>
    <x v="1"/>
    <x v="1"/>
    <s v="TRK51429869"/>
    <n v="5"/>
    <s v="None"/>
    <x v="4"/>
    <n v="277.05"/>
  </r>
  <r>
    <s v="ORD200418"/>
    <s v="2023-01-11"/>
    <s v="C74169"/>
    <x v="4"/>
    <n v="1"/>
    <n v="310.93"/>
    <s v="862 Main St"/>
    <x v="1"/>
    <x v="1"/>
    <s v="TRK66144809"/>
    <n v="3"/>
    <s v="None"/>
    <x v="3"/>
    <n v="310.93"/>
  </r>
  <r>
    <s v="ORD200419"/>
    <s v="2024-04-17"/>
    <s v="C70999"/>
    <x v="2"/>
    <n v="2"/>
    <n v="216.66"/>
    <s v="885 Main St"/>
    <x v="0"/>
    <x v="4"/>
    <s v="TRK75644156"/>
    <n v="6"/>
    <s v="FREESHIP"/>
    <x v="0"/>
    <n v="433.32"/>
  </r>
  <r>
    <s v="ORD200420"/>
    <s v="2024-11-29"/>
    <s v="C11921"/>
    <x v="1"/>
    <n v="1"/>
    <n v="452.7"/>
    <s v="439 Main St"/>
    <x v="0"/>
    <x v="0"/>
    <s v="TRK91362635"/>
    <n v="5"/>
    <s v="FREESHIP"/>
    <x v="0"/>
    <n v="452.7"/>
  </r>
  <r>
    <s v="ORD200421"/>
    <s v="2023-10-15"/>
    <s v="C50683"/>
    <x v="3"/>
    <n v="2"/>
    <n v="288.20999999999998"/>
    <s v="769 Main St"/>
    <x v="0"/>
    <x v="1"/>
    <s v="TRK53032122"/>
    <n v="5"/>
    <s v="None"/>
    <x v="2"/>
    <n v="576.41999999999996"/>
  </r>
  <r>
    <s v="ORD200422"/>
    <s v="2023-06-05"/>
    <s v="C76140"/>
    <x v="1"/>
    <n v="4"/>
    <n v="206.6"/>
    <s v="914 Main St"/>
    <x v="3"/>
    <x v="2"/>
    <s v="TRK25861469"/>
    <n v="6"/>
    <s v="WINTER15"/>
    <x v="1"/>
    <n v="826.4"/>
  </r>
  <r>
    <s v="ORD200423"/>
    <s v="2024-07-20"/>
    <s v="C94311"/>
    <x v="4"/>
    <n v="4"/>
    <n v="685.2"/>
    <s v="195 Main St"/>
    <x v="3"/>
    <x v="1"/>
    <s v="TRK97308771"/>
    <n v="6"/>
    <s v="WINTER15"/>
    <x v="4"/>
    <n v="2740.8"/>
  </r>
  <r>
    <s v="ORD200424"/>
    <s v="2023-04-12"/>
    <s v="C49491"/>
    <x v="3"/>
    <n v="5"/>
    <n v="22.94"/>
    <s v="339 Main St"/>
    <x v="4"/>
    <x v="4"/>
    <s v="TRK64012257"/>
    <n v="10"/>
    <s v="None"/>
    <x v="2"/>
    <n v="114.7"/>
  </r>
  <r>
    <s v="ORD200425"/>
    <s v="2023-03-09"/>
    <s v="C40648"/>
    <x v="5"/>
    <n v="2"/>
    <n v="301.88"/>
    <s v="488 Main St"/>
    <x v="3"/>
    <x v="2"/>
    <s v="TRK25325993"/>
    <n v="5"/>
    <s v="WINTER15"/>
    <x v="2"/>
    <n v="603.76"/>
  </r>
  <r>
    <s v="ORD200426"/>
    <s v="2025-03-16"/>
    <s v="C40967"/>
    <x v="0"/>
    <n v="5"/>
    <n v="57.45"/>
    <s v="315 Main St"/>
    <x v="4"/>
    <x v="1"/>
    <s v="TRK24839296"/>
    <n v="10"/>
    <s v="None"/>
    <x v="3"/>
    <n v="287.25"/>
  </r>
  <r>
    <s v="ORD200427"/>
    <s v="2024-12-18"/>
    <s v="C25406"/>
    <x v="6"/>
    <n v="1"/>
    <n v="161.24"/>
    <s v="379 Main St"/>
    <x v="2"/>
    <x v="4"/>
    <s v="TRK70952564"/>
    <n v="3"/>
    <s v="WINTER15"/>
    <x v="0"/>
    <n v="161.24"/>
  </r>
  <r>
    <s v="ORD200428"/>
    <s v="2024-11-26"/>
    <s v="C77085"/>
    <x v="3"/>
    <n v="4"/>
    <n v="262.58"/>
    <s v="895 Main St"/>
    <x v="1"/>
    <x v="1"/>
    <s v="TRK57227640"/>
    <n v="8"/>
    <s v="WINTER15"/>
    <x v="2"/>
    <n v="1050.32"/>
  </r>
  <r>
    <s v="ORD200429"/>
    <s v="2024-12-19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s v="2023-06-07"/>
    <s v="C87448"/>
    <x v="1"/>
    <n v="1"/>
    <n v="450.07"/>
    <s v="433 Main St"/>
    <x v="3"/>
    <x v="0"/>
    <s v="TRK44134016"/>
    <n v="6"/>
    <s v="FREESHIP"/>
    <x v="4"/>
    <n v="450.07"/>
  </r>
  <r>
    <s v="ORD200431"/>
    <s v="2024-10-06"/>
    <s v="C62312"/>
    <x v="4"/>
    <n v="1"/>
    <n v="52.54"/>
    <s v="651 Main St"/>
    <x v="0"/>
    <x v="1"/>
    <s v="TRK59623037"/>
    <n v="6"/>
    <s v="WINTER15"/>
    <x v="3"/>
    <n v="52.54"/>
  </r>
  <r>
    <s v="ORD200432"/>
    <s v="2023-09-04"/>
    <s v="C58443"/>
    <x v="2"/>
    <n v="2"/>
    <n v="424.32"/>
    <s v="662 Main St"/>
    <x v="2"/>
    <x v="2"/>
    <s v="TRK77163738"/>
    <n v="6"/>
    <s v="None"/>
    <x v="1"/>
    <n v="848.64"/>
  </r>
  <r>
    <s v="ORD200433"/>
    <s v="2023-08-26"/>
    <s v="C36613"/>
    <x v="0"/>
    <n v="3"/>
    <n v="631.64"/>
    <s v="785 Main St"/>
    <x v="2"/>
    <x v="2"/>
    <s v="TRK13282106"/>
    <n v="3"/>
    <s v="FREESHIP"/>
    <x v="3"/>
    <n v="1894.92"/>
  </r>
  <r>
    <s v="ORD200434"/>
    <s v="2023-10-22"/>
    <s v="C73893"/>
    <x v="4"/>
    <n v="5"/>
    <n v="327.68"/>
    <s v="384 Main St"/>
    <x v="2"/>
    <x v="2"/>
    <s v="TRK85939879"/>
    <n v="6"/>
    <s v="None"/>
    <x v="3"/>
    <n v="1638.4"/>
  </r>
  <r>
    <s v="ORD200435"/>
    <s v="2023-05-27"/>
    <s v="C48601"/>
    <x v="4"/>
    <n v="1"/>
    <n v="414.47"/>
    <s v="101 Main St"/>
    <x v="0"/>
    <x v="2"/>
    <s v="TRK97868309"/>
    <n v="3"/>
    <s v="FREESHIP"/>
    <x v="0"/>
    <n v="414.47"/>
  </r>
  <r>
    <s v="ORD200436"/>
    <s v="2023-02-11"/>
    <s v="C14568"/>
    <x v="5"/>
    <n v="4"/>
    <n v="221.33"/>
    <s v="651 Main St"/>
    <x v="1"/>
    <x v="4"/>
    <s v="TRK73545796"/>
    <n v="5"/>
    <s v="None"/>
    <x v="4"/>
    <n v="885.32"/>
  </r>
  <r>
    <s v="ORD200437"/>
    <s v="2024-04-18"/>
    <s v="C63378"/>
    <x v="1"/>
    <n v="1"/>
    <n v="512.39"/>
    <s v="955 Main St"/>
    <x v="1"/>
    <x v="3"/>
    <s v="TRK20863705"/>
    <n v="2"/>
    <s v="FREESHIP"/>
    <x v="0"/>
    <n v="512.39"/>
  </r>
  <r>
    <s v="ORD200438"/>
    <s v="2025-01-03"/>
    <s v="C77800"/>
    <x v="2"/>
    <n v="3"/>
    <n v="459.34"/>
    <s v="436 Main St"/>
    <x v="3"/>
    <x v="4"/>
    <s v="TRK27439574"/>
    <n v="3"/>
    <s v="SAVE10"/>
    <x v="0"/>
    <n v="1378.02"/>
  </r>
  <r>
    <s v="ORD200439"/>
    <s v="2024-09-08"/>
    <s v="C91155"/>
    <x v="2"/>
    <n v="1"/>
    <n v="146.32"/>
    <s v="321 Main St"/>
    <x v="1"/>
    <x v="0"/>
    <s v="TRK36260319"/>
    <n v="4"/>
    <s v="WINTER15"/>
    <x v="3"/>
    <n v="146.32"/>
  </r>
  <r>
    <s v="ORD200440"/>
    <s v="2024-11-05"/>
    <s v="C60215"/>
    <x v="6"/>
    <n v="4"/>
    <n v="83.6"/>
    <s v="978 Main St"/>
    <x v="0"/>
    <x v="4"/>
    <s v="TRK31727767"/>
    <n v="4"/>
    <s v="SAVE10"/>
    <x v="3"/>
    <n v="334.4"/>
  </r>
  <r>
    <s v="ORD200441"/>
    <s v="2023-12-13"/>
    <s v="C52915"/>
    <x v="4"/>
    <n v="2"/>
    <n v="328.54"/>
    <s v="475 Main St"/>
    <x v="3"/>
    <x v="2"/>
    <s v="TRK79466982"/>
    <n v="6"/>
    <s v="FREESHIP"/>
    <x v="2"/>
    <n v="657.08"/>
  </r>
  <r>
    <s v="ORD200442"/>
    <s v="2024-05-06"/>
    <s v="C72588"/>
    <x v="3"/>
    <n v="5"/>
    <n v="314.94"/>
    <s v="661 Main St"/>
    <x v="4"/>
    <x v="4"/>
    <s v="TRK43410829"/>
    <n v="8"/>
    <s v="SAVE10"/>
    <x v="0"/>
    <n v="1574.7"/>
  </r>
  <r>
    <s v="ORD200443"/>
    <s v="2024-05-14"/>
    <s v="C61668"/>
    <x v="3"/>
    <n v="2"/>
    <n v="69.64"/>
    <s v="813 Main St"/>
    <x v="4"/>
    <x v="2"/>
    <s v="TRK58970302"/>
    <n v="6"/>
    <s v="None"/>
    <x v="3"/>
    <n v="139.28"/>
  </r>
  <r>
    <s v="ORD200444"/>
    <s v="2024-06-08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s v="2024-03-23"/>
    <s v="C94569"/>
    <x v="1"/>
    <n v="1"/>
    <n v="487.21"/>
    <s v="227 Main St"/>
    <x v="4"/>
    <x v="3"/>
    <s v="TRK31351770"/>
    <n v="3"/>
    <s v="SAVE10"/>
    <x v="1"/>
    <n v="487.21"/>
  </r>
  <r>
    <s v="ORD200446"/>
    <s v="2023-10-18"/>
    <s v="C89592"/>
    <x v="5"/>
    <n v="5"/>
    <n v="509.58"/>
    <s v="262 Main St"/>
    <x v="1"/>
    <x v="3"/>
    <s v="TRK49442402"/>
    <n v="6"/>
    <s v="FREESHIP"/>
    <x v="0"/>
    <n v="2547.9"/>
  </r>
  <r>
    <s v="ORD200447"/>
    <s v="2024-04-07"/>
    <s v="C48207"/>
    <x v="4"/>
    <n v="2"/>
    <n v="416.81"/>
    <s v="356 Main St"/>
    <x v="4"/>
    <x v="2"/>
    <s v="TRK45355655"/>
    <n v="2"/>
    <s v="None"/>
    <x v="3"/>
    <n v="833.62"/>
  </r>
  <r>
    <s v="ORD200448"/>
    <s v="2023-09-04"/>
    <s v="C16776"/>
    <x v="5"/>
    <n v="2"/>
    <n v="160"/>
    <s v="854 Main St"/>
    <x v="4"/>
    <x v="4"/>
    <s v="TRK12860600"/>
    <n v="4"/>
    <s v="SAVE10"/>
    <x v="0"/>
    <n v="320"/>
  </r>
  <r>
    <s v="ORD200449"/>
    <s v="2024-08-26"/>
    <s v="C91518"/>
    <x v="2"/>
    <n v="3"/>
    <n v="253.05"/>
    <s v="286 Main St"/>
    <x v="1"/>
    <x v="4"/>
    <s v="TRK48688724"/>
    <n v="3"/>
    <s v="None"/>
    <x v="0"/>
    <n v="759.15"/>
  </r>
  <r>
    <s v="ORD200450"/>
    <s v="2024-01-15"/>
    <s v="C36408"/>
    <x v="0"/>
    <n v="5"/>
    <n v="615.1"/>
    <s v="160 Main St"/>
    <x v="3"/>
    <x v="2"/>
    <s v="TRK94023253"/>
    <n v="10"/>
    <s v="WINTER15"/>
    <x v="0"/>
    <n v="3075.5"/>
  </r>
  <r>
    <s v="ORD200451"/>
    <s v="2023-04-01"/>
    <s v="C14837"/>
    <x v="0"/>
    <n v="1"/>
    <n v="183.18"/>
    <s v="647 Main St"/>
    <x v="0"/>
    <x v="1"/>
    <s v="TRK17501136"/>
    <n v="6"/>
    <s v="SAVE10"/>
    <x v="2"/>
    <n v="183.18"/>
  </r>
  <r>
    <s v="ORD200452"/>
    <s v="2023-07-23"/>
    <s v="C36467"/>
    <x v="4"/>
    <n v="1"/>
    <n v="75.78"/>
    <s v="581 Main St"/>
    <x v="4"/>
    <x v="4"/>
    <s v="TRK20863987"/>
    <n v="5"/>
    <s v="SAVE10"/>
    <x v="4"/>
    <n v="75.78"/>
  </r>
  <r>
    <s v="ORD200453"/>
    <s v="2025-05-02"/>
    <s v="C15017"/>
    <x v="2"/>
    <n v="1"/>
    <n v="675.57"/>
    <s v="492 Main St"/>
    <x v="4"/>
    <x v="0"/>
    <s v="TRK51241924"/>
    <n v="1"/>
    <s v="WINTER15"/>
    <x v="3"/>
    <n v="675.57"/>
  </r>
  <r>
    <s v="ORD200454"/>
    <s v="2024-11-27"/>
    <s v="C54759"/>
    <x v="5"/>
    <n v="1"/>
    <n v="109.29"/>
    <s v="686 Main St"/>
    <x v="0"/>
    <x v="1"/>
    <s v="TRK75583042"/>
    <n v="5"/>
    <s v="FREESHIP"/>
    <x v="4"/>
    <n v="109.29"/>
  </r>
  <r>
    <s v="ORD200455"/>
    <s v="2024-03-26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s v="2023-06-26"/>
    <s v="C94479"/>
    <x v="6"/>
    <n v="5"/>
    <n v="62.81"/>
    <s v="259 Main St"/>
    <x v="2"/>
    <x v="0"/>
    <s v="TRK69089975"/>
    <n v="9"/>
    <s v="SAVE10"/>
    <x v="3"/>
    <n v="314.05"/>
  </r>
  <r>
    <s v="ORD200457"/>
    <s v="2025-05-25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s v="2024-07-02"/>
    <s v="C31412"/>
    <x v="0"/>
    <n v="4"/>
    <n v="510.58"/>
    <s v="196 Main St"/>
    <x v="2"/>
    <x v="2"/>
    <s v="TRK61946127"/>
    <n v="7"/>
    <s v="WINTER15"/>
    <x v="2"/>
    <n v="2042.32"/>
  </r>
  <r>
    <s v="ORD200459"/>
    <s v="2024-07-24"/>
    <s v="C90142"/>
    <x v="6"/>
    <n v="1"/>
    <n v="334.39"/>
    <s v="433 Main St"/>
    <x v="2"/>
    <x v="2"/>
    <s v="TRK39717191"/>
    <n v="2"/>
    <s v="None"/>
    <x v="0"/>
    <n v="334.39"/>
  </r>
  <r>
    <s v="ORD200460"/>
    <s v="2024-10-06"/>
    <s v="C83548"/>
    <x v="5"/>
    <n v="1"/>
    <n v="144.25"/>
    <s v="474 Main St"/>
    <x v="4"/>
    <x v="2"/>
    <s v="TRK93822942"/>
    <n v="2"/>
    <s v="WINTER15"/>
    <x v="1"/>
    <n v="144.25"/>
  </r>
  <r>
    <s v="ORD200461"/>
    <s v="2024-06-08"/>
    <s v="C29697"/>
    <x v="2"/>
    <n v="1"/>
    <n v="401.82"/>
    <s v="407 Main St"/>
    <x v="2"/>
    <x v="0"/>
    <s v="TRK47776482"/>
    <n v="5"/>
    <s v="FREESHIP"/>
    <x v="4"/>
    <n v="401.82"/>
  </r>
  <r>
    <s v="ORD200462"/>
    <s v="2025-03-31"/>
    <s v="C22991"/>
    <x v="1"/>
    <n v="1"/>
    <n v="252.68"/>
    <s v="731 Main St"/>
    <x v="1"/>
    <x v="1"/>
    <s v="TRK32796086"/>
    <n v="1"/>
    <s v="None"/>
    <x v="1"/>
    <n v="252.68"/>
  </r>
  <r>
    <s v="ORD200463"/>
    <s v="2023-05-26"/>
    <s v="C25276"/>
    <x v="5"/>
    <n v="5"/>
    <n v="662.78"/>
    <s v="214 Main St"/>
    <x v="0"/>
    <x v="0"/>
    <s v="TRK14011732"/>
    <n v="9"/>
    <s v="SAVE10"/>
    <x v="0"/>
    <n v="3313.9"/>
  </r>
  <r>
    <s v="ORD200464"/>
    <s v="2023-03-14"/>
    <s v="C39176"/>
    <x v="2"/>
    <n v="4"/>
    <n v="434.42"/>
    <s v="739 Main St"/>
    <x v="1"/>
    <x v="1"/>
    <s v="TRK71418686"/>
    <n v="6"/>
    <s v="FREESHIP"/>
    <x v="4"/>
    <n v="1737.68"/>
  </r>
  <r>
    <s v="ORD200465"/>
    <s v="2024-02-26"/>
    <s v="C58773"/>
    <x v="4"/>
    <n v="5"/>
    <n v="513.49"/>
    <s v="391 Main St"/>
    <x v="3"/>
    <x v="1"/>
    <s v="TRK65438300"/>
    <n v="8"/>
    <s v="None"/>
    <x v="4"/>
    <n v="2567.4499999999998"/>
  </r>
  <r>
    <s v="ORD200466"/>
    <s v="2023-07-18"/>
    <s v="C37412"/>
    <x v="1"/>
    <n v="1"/>
    <n v="432.47"/>
    <s v="895 Main St"/>
    <x v="4"/>
    <x v="3"/>
    <s v="TRK97829604"/>
    <n v="4"/>
    <s v="FREESHIP"/>
    <x v="1"/>
    <n v="432.47"/>
  </r>
  <r>
    <s v="ORD200467"/>
    <s v="2024-08-30"/>
    <s v="C36492"/>
    <x v="6"/>
    <n v="1"/>
    <n v="45.94"/>
    <s v="572 Main St"/>
    <x v="4"/>
    <x v="1"/>
    <s v="TRK44350440"/>
    <n v="2"/>
    <s v="WINTER15"/>
    <x v="2"/>
    <n v="45.94"/>
  </r>
  <r>
    <s v="ORD200468"/>
    <s v="2025-06-21"/>
    <s v="C90110"/>
    <x v="1"/>
    <n v="1"/>
    <n v="418.36"/>
    <s v="998 Main St"/>
    <x v="2"/>
    <x v="3"/>
    <s v="TRK60203957"/>
    <n v="5"/>
    <s v="FREESHIP"/>
    <x v="2"/>
    <n v="418.36"/>
  </r>
  <r>
    <s v="ORD200469"/>
    <s v="2023-11-26"/>
    <s v="C13877"/>
    <x v="3"/>
    <n v="5"/>
    <n v="676.98"/>
    <s v="893 Main St"/>
    <x v="4"/>
    <x v="1"/>
    <s v="TRK17254691"/>
    <n v="5"/>
    <s v="None"/>
    <x v="3"/>
    <n v="3384.9"/>
  </r>
  <r>
    <s v="ORD200470"/>
    <s v="2023-09-29"/>
    <s v="C25149"/>
    <x v="2"/>
    <n v="4"/>
    <n v="263.62"/>
    <s v="672 Main St"/>
    <x v="4"/>
    <x v="0"/>
    <s v="TRK33538608"/>
    <n v="5"/>
    <s v="SAVE10"/>
    <x v="2"/>
    <n v="1054.48"/>
  </r>
  <r>
    <s v="ORD200471"/>
    <s v="2025-04-19"/>
    <s v="C52717"/>
    <x v="6"/>
    <n v="5"/>
    <n v="551.27"/>
    <s v="395 Main St"/>
    <x v="1"/>
    <x v="1"/>
    <s v="TRK27625571"/>
    <n v="7"/>
    <s v="FREESHIP"/>
    <x v="1"/>
    <n v="2756.35"/>
  </r>
  <r>
    <s v="ORD200472"/>
    <s v="2023-01-06"/>
    <s v="C60029"/>
    <x v="3"/>
    <n v="3"/>
    <n v="508.12"/>
    <s v="796 Main St"/>
    <x v="2"/>
    <x v="1"/>
    <s v="TRK86461316"/>
    <n v="8"/>
    <s v="FREESHIP"/>
    <x v="1"/>
    <n v="1524.36"/>
  </r>
  <r>
    <s v="ORD200473"/>
    <s v="2025-02-25"/>
    <s v="C28552"/>
    <x v="3"/>
    <n v="2"/>
    <n v="14.93"/>
    <s v="449 Main St"/>
    <x v="1"/>
    <x v="0"/>
    <s v="TRK71597160"/>
    <n v="4"/>
    <s v="None"/>
    <x v="3"/>
    <n v="29.86"/>
  </r>
  <r>
    <s v="ORD200474"/>
    <s v="2023-11-15"/>
    <s v="C72293"/>
    <x v="4"/>
    <n v="3"/>
    <n v="229.34"/>
    <s v="398 Main St"/>
    <x v="2"/>
    <x v="0"/>
    <s v="TRK84378003"/>
    <n v="6"/>
    <s v="SAVE10"/>
    <x v="1"/>
    <n v="688.02"/>
  </r>
  <r>
    <s v="ORD200475"/>
    <s v="2025-04-19"/>
    <s v="C29844"/>
    <x v="2"/>
    <n v="2"/>
    <n v="438.62"/>
    <s v="363 Main St"/>
    <x v="4"/>
    <x v="1"/>
    <s v="TRK91642337"/>
    <n v="3"/>
    <s v="SAVE10"/>
    <x v="3"/>
    <n v="877.24"/>
  </r>
  <r>
    <s v="ORD200476"/>
    <s v="2024-01-15"/>
    <s v="C77872"/>
    <x v="1"/>
    <n v="2"/>
    <n v="513.59"/>
    <s v="867 Main St"/>
    <x v="1"/>
    <x v="2"/>
    <s v="TRK19292184"/>
    <n v="4"/>
    <s v="FREESHIP"/>
    <x v="1"/>
    <n v="1027.18"/>
  </r>
  <r>
    <s v="ORD200477"/>
    <s v="2025-03-05"/>
    <s v="C56564"/>
    <x v="1"/>
    <n v="2"/>
    <n v="253.74"/>
    <s v="481 Main St"/>
    <x v="1"/>
    <x v="0"/>
    <s v="TRK13166044"/>
    <n v="5"/>
    <s v="SAVE10"/>
    <x v="4"/>
    <n v="507.48"/>
  </r>
  <r>
    <s v="ORD200478"/>
    <s v="2024-11-01"/>
    <s v="C16758"/>
    <x v="2"/>
    <n v="3"/>
    <n v="62.77"/>
    <s v="914 Main St"/>
    <x v="3"/>
    <x v="0"/>
    <s v="TRK88544431"/>
    <n v="6"/>
    <s v="FREESHIP"/>
    <x v="1"/>
    <n v="188.31"/>
  </r>
  <r>
    <s v="ORD200479"/>
    <s v="2023-02-18"/>
    <s v="C87011"/>
    <x v="0"/>
    <n v="4"/>
    <n v="25.29"/>
    <s v="943 Main St"/>
    <x v="2"/>
    <x v="4"/>
    <s v="TRK21429162"/>
    <n v="8"/>
    <s v="None"/>
    <x v="4"/>
    <n v="101.16"/>
  </r>
  <r>
    <s v="ORD200480"/>
    <s v="2023-06-16"/>
    <s v="C21147"/>
    <x v="3"/>
    <n v="1"/>
    <n v="335.1"/>
    <s v="126 Main St"/>
    <x v="0"/>
    <x v="4"/>
    <s v="TRK93171043"/>
    <n v="6"/>
    <s v="FREESHIP"/>
    <x v="1"/>
    <n v="335.1"/>
  </r>
  <r>
    <s v="ORD200481"/>
    <s v="2023-04-23"/>
    <s v="C94568"/>
    <x v="5"/>
    <n v="4"/>
    <n v="484.85"/>
    <s v="317 Main St"/>
    <x v="0"/>
    <x v="3"/>
    <s v="TRK58653915"/>
    <n v="5"/>
    <s v="WINTER15"/>
    <x v="1"/>
    <n v="1939.4"/>
  </r>
  <r>
    <s v="ORD200482"/>
    <s v="2025-03-02"/>
    <s v="C35852"/>
    <x v="0"/>
    <n v="3"/>
    <n v="381.41"/>
    <s v="989 Main St"/>
    <x v="1"/>
    <x v="4"/>
    <s v="TRK22302049"/>
    <n v="6"/>
    <s v="None"/>
    <x v="0"/>
    <n v="1144.23"/>
  </r>
  <r>
    <s v="ORD200483"/>
    <s v="2023-01-18"/>
    <s v="C66462"/>
    <x v="1"/>
    <n v="5"/>
    <n v="347.92"/>
    <s v="982 Main St"/>
    <x v="4"/>
    <x v="4"/>
    <s v="TRK52743700"/>
    <n v="6"/>
    <s v="WINTER15"/>
    <x v="4"/>
    <n v="1739.6"/>
  </r>
  <r>
    <s v="ORD200484"/>
    <s v="2024-05-29"/>
    <s v="C29092"/>
    <x v="3"/>
    <n v="4"/>
    <n v="15.01"/>
    <s v="767 Main St"/>
    <x v="4"/>
    <x v="1"/>
    <s v="TRK90455340"/>
    <n v="6"/>
    <s v="None"/>
    <x v="3"/>
    <n v="60.04"/>
  </r>
  <r>
    <s v="ORD200485"/>
    <s v="2023-08-01"/>
    <s v="C46651"/>
    <x v="3"/>
    <n v="3"/>
    <n v="404.79"/>
    <s v="764 Main St"/>
    <x v="4"/>
    <x v="0"/>
    <s v="TRK67679195"/>
    <n v="6"/>
    <s v="SAVE10"/>
    <x v="0"/>
    <n v="1214.3699999999999"/>
  </r>
  <r>
    <s v="ORD200486"/>
    <s v="2023-02-03"/>
    <s v="C88981"/>
    <x v="4"/>
    <n v="4"/>
    <n v="611.26"/>
    <s v="558 Main St"/>
    <x v="4"/>
    <x v="0"/>
    <s v="TRK75267873"/>
    <n v="5"/>
    <s v="SAVE10"/>
    <x v="1"/>
    <n v="2445.04"/>
  </r>
  <r>
    <s v="ORD200487"/>
    <s v="2023-03-09"/>
    <s v="C40136"/>
    <x v="4"/>
    <n v="3"/>
    <n v="346.52"/>
    <s v="211 Main St"/>
    <x v="2"/>
    <x v="4"/>
    <s v="TRK92924852"/>
    <n v="3"/>
    <s v="SAVE10"/>
    <x v="4"/>
    <n v="1039.56"/>
  </r>
  <r>
    <s v="ORD200488"/>
    <s v="2024-12-05"/>
    <s v="C81573"/>
    <x v="3"/>
    <n v="1"/>
    <n v="36.65"/>
    <s v="556 Main St"/>
    <x v="1"/>
    <x v="1"/>
    <s v="TRK96522994"/>
    <n v="1"/>
    <s v="WINTER15"/>
    <x v="2"/>
    <n v="36.65"/>
  </r>
  <r>
    <s v="ORD200489"/>
    <s v="2023-09-05"/>
    <s v="C11940"/>
    <x v="2"/>
    <n v="3"/>
    <n v="149.34"/>
    <s v="589 Main St"/>
    <x v="3"/>
    <x v="1"/>
    <s v="TRK85466461"/>
    <n v="7"/>
    <s v="WINTER15"/>
    <x v="2"/>
    <n v="448.02"/>
  </r>
  <r>
    <s v="ORD200490"/>
    <s v="2024-07-22"/>
    <s v="C50097"/>
    <x v="3"/>
    <n v="5"/>
    <n v="467.81"/>
    <s v="539 Main St"/>
    <x v="1"/>
    <x v="1"/>
    <s v="TRK62785150"/>
    <n v="10"/>
    <s v="None"/>
    <x v="3"/>
    <n v="2339.0500000000002"/>
  </r>
  <r>
    <s v="ORD200491"/>
    <s v="2023-01-05"/>
    <s v="C98168"/>
    <x v="1"/>
    <n v="5"/>
    <n v="420.7"/>
    <s v="481 Main St"/>
    <x v="4"/>
    <x v="4"/>
    <s v="TRK56423359"/>
    <n v="5"/>
    <s v="WINTER15"/>
    <x v="3"/>
    <n v="2103.5"/>
  </r>
  <r>
    <s v="ORD200492"/>
    <s v="2023-10-25"/>
    <s v="C39074"/>
    <x v="5"/>
    <n v="5"/>
    <n v="606.52"/>
    <s v="103 Main St"/>
    <x v="0"/>
    <x v="0"/>
    <s v="TRK13027036"/>
    <n v="6"/>
    <s v="SAVE10"/>
    <x v="0"/>
    <n v="3032.6"/>
  </r>
  <r>
    <s v="ORD200493"/>
    <s v="2025-01-28"/>
    <s v="C84908"/>
    <x v="1"/>
    <n v="1"/>
    <n v="420.26"/>
    <s v="372 Main St"/>
    <x v="2"/>
    <x v="4"/>
    <s v="TRK64135970"/>
    <n v="4"/>
    <s v="FREESHIP"/>
    <x v="3"/>
    <n v="420.26"/>
  </r>
  <r>
    <s v="ORD200494"/>
    <s v="2023-07-19"/>
    <s v="C64516"/>
    <x v="5"/>
    <n v="3"/>
    <n v="505.79"/>
    <s v="459 Main St"/>
    <x v="0"/>
    <x v="4"/>
    <s v="TRK63920573"/>
    <n v="3"/>
    <s v="FREESHIP"/>
    <x v="1"/>
    <n v="1517.37"/>
  </r>
  <r>
    <s v="ORD200495"/>
    <s v="2025-06-05"/>
    <s v="C63827"/>
    <x v="1"/>
    <n v="4"/>
    <n v="493.73"/>
    <s v="947 Main St"/>
    <x v="0"/>
    <x v="4"/>
    <s v="TRK35730581"/>
    <n v="6"/>
    <s v="SAVE10"/>
    <x v="3"/>
    <n v="1974.92"/>
  </r>
  <r>
    <s v="ORD200496"/>
    <s v="2025-03-14"/>
    <s v="C93618"/>
    <x v="4"/>
    <n v="3"/>
    <n v="201.21"/>
    <s v="249 Main St"/>
    <x v="1"/>
    <x v="1"/>
    <s v="TRK66129326"/>
    <n v="3"/>
    <s v="SAVE10"/>
    <x v="4"/>
    <n v="603.63"/>
  </r>
  <r>
    <s v="ORD200497"/>
    <s v="2024-10-24"/>
    <s v="C93948"/>
    <x v="4"/>
    <n v="3"/>
    <n v="112.29"/>
    <s v="454 Main St"/>
    <x v="3"/>
    <x v="0"/>
    <s v="TRK77358113"/>
    <n v="6"/>
    <s v="None"/>
    <x v="4"/>
    <n v="336.87"/>
  </r>
  <r>
    <s v="ORD200498"/>
    <s v="2023-07-12"/>
    <s v="C73961"/>
    <x v="2"/>
    <n v="4"/>
    <n v="132.56"/>
    <s v="306 Main St"/>
    <x v="4"/>
    <x v="2"/>
    <s v="TRK32607173"/>
    <n v="8"/>
    <s v="WINTER15"/>
    <x v="0"/>
    <n v="530.24"/>
  </r>
  <r>
    <s v="ORD200499"/>
    <s v="2023-04-06"/>
    <s v="C18138"/>
    <x v="4"/>
    <n v="3"/>
    <n v="539.46"/>
    <s v="520 Main St"/>
    <x v="2"/>
    <x v="0"/>
    <s v="TRK20289483"/>
    <n v="4"/>
    <s v="SAVE10"/>
    <x v="3"/>
    <n v="1618.38"/>
  </r>
  <r>
    <s v="ORD200500"/>
    <s v="2024-04-07"/>
    <s v="C79475"/>
    <x v="5"/>
    <n v="5"/>
    <n v="508.59"/>
    <s v="169 Main St"/>
    <x v="4"/>
    <x v="2"/>
    <s v="TRK42168516"/>
    <n v="8"/>
    <s v="WINTER15"/>
    <x v="3"/>
    <n v="2542.9499999999998"/>
  </r>
  <r>
    <s v="ORD200501"/>
    <s v="2024-02-04"/>
    <s v="C88546"/>
    <x v="6"/>
    <n v="4"/>
    <n v="203.46"/>
    <s v="226 Main St"/>
    <x v="2"/>
    <x v="4"/>
    <s v="TRK19867754"/>
    <n v="7"/>
    <s v="SAVE10"/>
    <x v="1"/>
    <n v="813.84"/>
  </r>
  <r>
    <s v="ORD200502"/>
    <s v="2023-05-20"/>
    <s v="C69332"/>
    <x v="0"/>
    <n v="3"/>
    <n v="565.25"/>
    <s v="745 Main St"/>
    <x v="0"/>
    <x v="2"/>
    <s v="TRK65718848"/>
    <n v="7"/>
    <s v="SAVE10"/>
    <x v="2"/>
    <n v="1695.75"/>
  </r>
  <r>
    <s v="ORD200503"/>
    <s v="2023-08-31"/>
    <s v="C64554"/>
    <x v="2"/>
    <n v="3"/>
    <n v="136.84"/>
    <s v="498 Main St"/>
    <x v="1"/>
    <x v="4"/>
    <s v="TRK95384568"/>
    <n v="4"/>
    <s v="FREESHIP"/>
    <x v="3"/>
    <n v="410.52"/>
  </r>
  <r>
    <s v="ORD200504"/>
    <s v="2025-06-11"/>
    <s v="C11676"/>
    <x v="0"/>
    <n v="2"/>
    <n v="464.5"/>
    <s v="805 Main St"/>
    <x v="1"/>
    <x v="1"/>
    <s v="TRK35726395"/>
    <n v="2"/>
    <s v="WINTER15"/>
    <x v="0"/>
    <n v="929"/>
  </r>
  <r>
    <s v="ORD200505"/>
    <s v="2023-06-11"/>
    <s v="C36014"/>
    <x v="4"/>
    <n v="2"/>
    <n v="434.97"/>
    <s v="558 Main St"/>
    <x v="1"/>
    <x v="0"/>
    <s v="TRK97246526"/>
    <n v="7"/>
    <s v="None"/>
    <x v="2"/>
    <n v="869.94"/>
  </r>
  <r>
    <s v="ORD200506"/>
    <s v="2023-07-25"/>
    <s v="C23279"/>
    <x v="0"/>
    <n v="2"/>
    <n v="43.67"/>
    <s v="696 Main St"/>
    <x v="4"/>
    <x v="2"/>
    <s v="TRK58039693"/>
    <n v="4"/>
    <s v="WINTER15"/>
    <x v="0"/>
    <n v="87.34"/>
  </r>
  <r>
    <s v="ORD200507"/>
    <s v="2023-07-05"/>
    <s v="C86481"/>
    <x v="1"/>
    <n v="1"/>
    <n v="171.59"/>
    <s v="546 Main St"/>
    <x v="2"/>
    <x v="4"/>
    <s v="TRK87513944"/>
    <n v="5"/>
    <s v="WINTER15"/>
    <x v="2"/>
    <n v="171.59"/>
  </r>
  <r>
    <s v="ORD200508"/>
    <s v="2025-05-14"/>
    <s v="C39550"/>
    <x v="1"/>
    <n v="1"/>
    <n v="558.27"/>
    <s v="976 Main St"/>
    <x v="1"/>
    <x v="3"/>
    <s v="TRK24120267"/>
    <n v="1"/>
    <s v="None"/>
    <x v="1"/>
    <n v="558.27"/>
  </r>
  <r>
    <s v="ORD200509"/>
    <s v="2023-02-15"/>
    <s v="C68937"/>
    <x v="5"/>
    <n v="2"/>
    <n v="425.03"/>
    <s v="560 Main St"/>
    <x v="4"/>
    <x v="2"/>
    <s v="TRK31908657"/>
    <n v="2"/>
    <s v="WINTER15"/>
    <x v="4"/>
    <n v="850.06"/>
  </r>
  <r>
    <s v="ORD200510"/>
    <s v="2024-12-16"/>
    <s v="C72533"/>
    <x v="4"/>
    <n v="1"/>
    <n v="376.76"/>
    <s v="389 Main St"/>
    <x v="0"/>
    <x v="3"/>
    <s v="TRK51288986"/>
    <n v="5"/>
    <s v="SAVE10"/>
    <x v="2"/>
    <n v="376.76"/>
  </r>
  <r>
    <s v="ORD200511"/>
    <s v="2024-03-15"/>
    <s v="C11415"/>
    <x v="0"/>
    <n v="5"/>
    <n v="575.24"/>
    <s v="267 Main St"/>
    <x v="4"/>
    <x v="3"/>
    <s v="TRK65061457"/>
    <n v="7"/>
    <s v="WINTER15"/>
    <x v="2"/>
    <n v="2876.2"/>
  </r>
  <r>
    <s v="ORD200512"/>
    <s v="2024-09-27"/>
    <s v="C14114"/>
    <x v="6"/>
    <n v="3"/>
    <n v="568.02"/>
    <s v="856 Main St"/>
    <x v="1"/>
    <x v="4"/>
    <s v="TRK63290700"/>
    <n v="3"/>
    <s v="FREESHIP"/>
    <x v="0"/>
    <n v="1704.06"/>
  </r>
  <r>
    <s v="ORD200513"/>
    <s v="2025-02-09"/>
    <s v="C64128"/>
    <x v="2"/>
    <n v="3"/>
    <n v="94.88"/>
    <s v="533 Main St"/>
    <x v="3"/>
    <x v="0"/>
    <s v="TRK37053575"/>
    <n v="8"/>
    <s v="None"/>
    <x v="1"/>
    <n v="284.64"/>
  </r>
  <r>
    <s v="ORD200514"/>
    <s v="2023-04-16"/>
    <s v="C15629"/>
    <x v="4"/>
    <n v="3"/>
    <n v="304.14999999999998"/>
    <s v="492 Main St"/>
    <x v="3"/>
    <x v="0"/>
    <s v="TRK64926044"/>
    <n v="3"/>
    <s v="WINTER15"/>
    <x v="0"/>
    <n v="912.45"/>
  </r>
  <r>
    <s v="ORD200515"/>
    <s v="2023-03-14"/>
    <s v="C67561"/>
    <x v="1"/>
    <n v="3"/>
    <n v="553.52"/>
    <s v="160 Main St"/>
    <x v="3"/>
    <x v="0"/>
    <s v="TRK75900717"/>
    <n v="4"/>
    <s v="FREESHIP"/>
    <x v="3"/>
    <n v="1660.56"/>
  </r>
  <r>
    <s v="ORD200516"/>
    <s v="2024-04-07"/>
    <s v="C47022"/>
    <x v="0"/>
    <n v="3"/>
    <n v="166.99"/>
    <s v="208 Main St"/>
    <x v="4"/>
    <x v="2"/>
    <s v="TRK28855040"/>
    <n v="8"/>
    <s v="None"/>
    <x v="3"/>
    <n v="500.97"/>
  </r>
  <r>
    <s v="ORD200517"/>
    <s v="2024-04-09"/>
    <s v="C55205"/>
    <x v="2"/>
    <n v="4"/>
    <n v="198.35"/>
    <s v="943 Main St"/>
    <x v="4"/>
    <x v="1"/>
    <s v="TRK88141634"/>
    <n v="7"/>
    <s v="FREESHIP"/>
    <x v="4"/>
    <n v="793.4"/>
  </r>
  <r>
    <s v="ORD200518"/>
    <s v="2025-06-13"/>
    <s v="C30686"/>
    <x v="4"/>
    <n v="4"/>
    <n v="403.58"/>
    <s v="319 Main St"/>
    <x v="1"/>
    <x v="4"/>
    <s v="TRK59807273"/>
    <n v="9"/>
    <s v="SAVE10"/>
    <x v="1"/>
    <n v="1614.32"/>
  </r>
  <r>
    <s v="ORD200519"/>
    <s v="2025-05-10"/>
    <s v="C71797"/>
    <x v="5"/>
    <n v="4"/>
    <n v="464.29"/>
    <s v="941 Main St"/>
    <x v="0"/>
    <x v="2"/>
    <s v="TRK66010667"/>
    <n v="5"/>
    <s v="SAVE10"/>
    <x v="2"/>
    <n v="1857.16"/>
  </r>
  <r>
    <s v="ORD200520"/>
    <s v="2023-03-10"/>
    <s v="C66332"/>
    <x v="0"/>
    <n v="3"/>
    <n v="635.98"/>
    <s v="959 Main St"/>
    <x v="4"/>
    <x v="2"/>
    <s v="TRK27063398"/>
    <n v="5"/>
    <s v="None"/>
    <x v="1"/>
    <n v="1907.94"/>
  </r>
  <r>
    <s v="ORD200521"/>
    <s v="2024-02-25"/>
    <s v="C82318"/>
    <x v="1"/>
    <n v="1"/>
    <n v="528.05999999999995"/>
    <s v="991 Main St"/>
    <x v="2"/>
    <x v="0"/>
    <s v="TRK37534165"/>
    <n v="2"/>
    <s v="None"/>
    <x v="3"/>
    <n v="528.05999999999995"/>
  </r>
  <r>
    <s v="ORD200522"/>
    <s v="2024-04-2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s v="2025-02-18"/>
    <s v="C65083"/>
    <x v="6"/>
    <n v="4"/>
    <n v="657.79"/>
    <s v="652 Main St"/>
    <x v="2"/>
    <x v="2"/>
    <s v="TRK60937148"/>
    <n v="6"/>
    <s v="WINTER15"/>
    <x v="4"/>
    <n v="2631.16"/>
  </r>
  <r>
    <s v="ORD200524"/>
    <s v="2023-10-25"/>
    <s v="C44778"/>
    <x v="1"/>
    <n v="1"/>
    <n v="153"/>
    <s v="103 Main St"/>
    <x v="2"/>
    <x v="2"/>
    <s v="TRK92617366"/>
    <n v="4"/>
    <s v="None"/>
    <x v="1"/>
    <n v="153"/>
  </r>
  <r>
    <s v="ORD200525"/>
    <s v="2023-12-03"/>
    <s v="C54499"/>
    <x v="0"/>
    <n v="1"/>
    <n v="668.48"/>
    <s v="160 Main St"/>
    <x v="0"/>
    <x v="0"/>
    <s v="TRK18061555"/>
    <n v="1"/>
    <s v="SAVE10"/>
    <x v="2"/>
    <n v="668.48"/>
  </r>
  <r>
    <s v="ORD200526"/>
    <s v="2024-02-29"/>
    <s v="C91201"/>
    <x v="6"/>
    <n v="2"/>
    <n v="46.5"/>
    <s v="837 Main St"/>
    <x v="4"/>
    <x v="2"/>
    <s v="TRK63526023"/>
    <n v="7"/>
    <s v="WINTER15"/>
    <x v="4"/>
    <n v="93"/>
  </r>
  <r>
    <s v="ORD200527"/>
    <s v="2024-08-19"/>
    <s v="C27202"/>
    <x v="3"/>
    <n v="5"/>
    <n v="653.47"/>
    <s v="967 Main St"/>
    <x v="2"/>
    <x v="1"/>
    <s v="TRK75406128"/>
    <n v="10"/>
    <s v="SAVE10"/>
    <x v="1"/>
    <n v="3267.35"/>
  </r>
  <r>
    <s v="ORD200528"/>
    <s v="2025-02-26"/>
    <s v="C32011"/>
    <x v="3"/>
    <n v="1"/>
    <n v="628.89"/>
    <s v="686 Main St"/>
    <x v="2"/>
    <x v="2"/>
    <s v="TRK70997744"/>
    <n v="2"/>
    <s v="SAVE10"/>
    <x v="1"/>
    <n v="628.89"/>
  </r>
  <r>
    <s v="ORD200529"/>
    <s v="2024-04-07"/>
    <s v="C21181"/>
    <x v="2"/>
    <n v="2"/>
    <n v="675.1"/>
    <s v="938 Main St"/>
    <x v="4"/>
    <x v="4"/>
    <s v="TRK50363421"/>
    <n v="4"/>
    <s v="FREESHIP"/>
    <x v="4"/>
    <n v="1350.2"/>
  </r>
  <r>
    <s v="ORD200530"/>
    <s v="2024-07-18"/>
    <s v="C98450"/>
    <x v="3"/>
    <n v="4"/>
    <n v="89.41"/>
    <s v="613 Main St"/>
    <x v="1"/>
    <x v="4"/>
    <s v="TRK14809530"/>
    <n v="9"/>
    <s v="None"/>
    <x v="4"/>
    <n v="357.64"/>
  </r>
  <r>
    <s v="ORD200531"/>
    <s v="2024-07-02"/>
    <s v="C64502"/>
    <x v="6"/>
    <n v="5"/>
    <n v="320.01"/>
    <s v="722 Main St"/>
    <x v="3"/>
    <x v="3"/>
    <s v="TRK14914388"/>
    <n v="6"/>
    <s v="None"/>
    <x v="1"/>
    <n v="1600.05"/>
  </r>
  <r>
    <s v="ORD200532"/>
    <s v="2025-05-03"/>
    <s v="C47365"/>
    <x v="5"/>
    <n v="2"/>
    <n v="41"/>
    <s v="369 Main St"/>
    <x v="1"/>
    <x v="3"/>
    <s v="TRK42207882"/>
    <n v="7"/>
    <s v="None"/>
    <x v="2"/>
    <n v="82"/>
  </r>
  <r>
    <s v="ORD200533"/>
    <s v="2023-03-05"/>
    <s v="C66349"/>
    <x v="6"/>
    <n v="1"/>
    <n v="565.85"/>
    <s v="715 Main St"/>
    <x v="3"/>
    <x v="2"/>
    <s v="TRK63550793"/>
    <n v="1"/>
    <s v="FREESHIP"/>
    <x v="3"/>
    <n v="565.85"/>
  </r>
  <r>
    <s v="ORD200534"/>
    <s v="2024-06-06"/>
    <s v="C73289"/>
    <x v="3"/>
    <n v="3"/>
    <n v="648.59"/>
    <s v="906 Main St"/>
    <x v="0"/>
    <x v="1"/>
    <s v="TRK70872738"/>
    <n v="4"/>
    <s v="SAVE10"/>
    <x v="2"/>
    <n v="1945.77"/>
  </r>
  <r>
    <s v="ORD200535"/>
    <s v="2024-07-24"/>
    <s v="C48649"/>
    <x v="0"/>
    <n v="3"/>
    <n v="68.12"/>
    <s v="332 Main St"/>
    <x v="1"/>
    <x v="1"/>
    <s v="TRK45821445"/>
    <n v="3"/>
    <s v="FREESHIP"/>
    <x v="2"/>
    <n v="204.36"/>
  </r>
  <r>
    <s v="ORD200536"/>
    <s v="2024-06-09"/>
    <s v="C18724"/>
    <x v="3"/>
    <n v="1"/>
    <n v="616.1"/>
    <s v="124 Main St"/>
    <x v="4"/>
    <x v="2"/>
    <s v="TRK52508861"/>
    <n v="6"/>
    <s v="None"/>
    <x v="2"/>
    <n v="616.1"/>
  </r>
  <r>
    <s v="ORD200537"/>
    <s v="2025-03-23"/>
    <s v="C68553"/>
    <x v="2"/>
    <n v="3"/>
    <n v="247.47"/>
    <s v="385 Main St"/>
    <x v="1"/>
    <x v="3"/>
    <s v="TRK58218971"/>
    <n v="4"/>
    <s v="SAVE10"/>
    <x v="3"/>
    <n v="742.41"/>
  </r>
  <r>
    <s v="ORD200538"/>
    <s v="2024-05-24"/>
    <s v="C61280"/>
    <x v="1"/>
    <n v="3"/>
    <n v="490.74"/>
    <s v="100 Main St"/>
    <x v="4"/>
    <x v="0"/>
    <s v="TRK95487711"/>
    <n v="3"/>
    <s v="WINTER15"/>
    <x v="2"/>
    <n v="1472.22"/>
  </r>
  <r>
    <s v="ORD200539"/>
    <s v="2025-02-18"/>
    <s v="C53277"/>
    <x v="6"/>
    <n v="3"/>
    <n v="531.72"/>
    <s v="473 Main St"/>
    <x v="3"/>
    <x v="3"/>
    <s v="TRK17653832"/>
    <n v="7"/>
    <s v="SAVE10"/>
    <x v="4"/>
    <n v="1595.16"/>
  </r>
  <r>
    <s v="ORD200540"/>
    <s v="2024-01-29"/>
    <s v="C87281"/>
    <x v="5"/>
    <n v="5"/>
    <n v="648.65"/>
    <s v="852 Main St"/>
    <x v="1"/>
    <x v="4"/>
    <s v="TRK81765057"/>
    <n v="7"/>
    <s v="None"/>
    <x v="1"/>
    <n v="3243.25"/>
  </r>
  <r>
    <s v="ORD200541"/>
    <s v="2023-08-07"/>
    <s v="C69009"/>
    <x v="4"/>
    <n v="5"/>
    <n v="456.06"/>
    <s v="879 Main St"/>
    <x v="4"/>
    <x v="4"/>
    <s v="TRK61295842"/>
    <n v="10"/>
    <s v="None"/>
    <x v="0"/>
    <n v="2280.3000000000002"/>
  </r>
  <r>
    <s v="ORD200542"/>
    <s v="2023-11-14"/>
    <s v="C49726"/>
    <x v="2"/>
    <n v="1"/>
    <n v="17.98"/>
    <s v="934 Main St"/>
    <x v="4"/>
    <x v="1"/>
    <s v="TRK20739460"/>
    <n v="6"/>
    <s v="FREESHIP"/>
    <x v="2"/>
    <n v="17.98"/>
  </r>
  <r>
    <s v="ORD200543"/>
    <s v="2024-03-09"/>
    <s v="C37531"/>
    <x v="6"/>
    <n v="5"/>
    <n v="269.86"/>
    <s v="354 Main St"/>
    <x v="4"/>
    <x v="0"/>
    <s v="TRK93877673"/>
    <n v="6"/>
    <s v="WINTER15"/>
    <x v="3"/>
    <n v="1349.3"/>
  </r>
  <r>
    <s v="ORD200544"/>
    <s v="2024-03-10"/>
    <s v="C48713"/>
    <x v="4"/>
    <n v="5"/>
    <n v="31.96"/>
    <s v="373 Main St"/>
    <x v="2"/>
    <x v="2"/>
    <s v="TRK96334419"/>
    <n v="5"/>
    <s v="FREESHIP"/>
    <x v="1"/>
    <n v="159.80000000000001"/>
  </r>
  <r>
    <s v="ORD200545"/>
    <s v="2023-12-19"/>
    <s v="C74138"/>
    <x v="0"/>
    <n v="2"/>
    <n v="98.47"/>
    <s v="964 Main St"/>
    <x v="4"/>
    <x v="2"/>
    <s v="TRK74091695"/>
    <n v="3"/>
    <s v="None"/>
    <x v="0"/>
    <n v="196.94"/>
  </r>
  <r>
    <s v="ORD200546"/>
    <s v="2024-03-01"/>
    <s v="C82399"/>
    <x v="0"/>
    <n v="1"/>
    <n v="158.68"/>
    <s v="928 Main St"/>
    <x v="2"/>
    <x v="2"/>
    <s v="TRK77177284"/>
    <n v="6"/>
    <s v="WINTER15"/>
    <x v="0"/>
    <n v="158.68"/>
  </r>
  <r>
    <s v="ORD200547"/>
    <s v="2023-08-20"/>
    <s v="C40427"/>
    <x v="1"/>
    <n v="1"/>
    <n v="613.98"/>
    <s v="411 Main St"/>
    <x v="1"/>
    <x v="3"/>
    <s v="TRK25392280"/>
    <n v="4"/>
    <s v="FREESHIP"/>
    <x v="3"/>
    <n v="613.98"/>
  </r>
  <r>
    <s v="ORD200548"/>
    <s v="2024-01-05"/>
    <s v="C17103"/>
    <x v="4"/>
    <n v="3"/>
    <n v="426.12"/>
    <s v="922 Main St"/>
    <x v="1"/>
    <x v="3"/>
    <s v="TRK64398650"/>
    <n v="5"/>
    <s v="WINTER15"/>
    <x v="0"/>
    <n v="1278.3599999999999"/>
  </r>
  <r>
    <s v="ORD200549"/>
    <s v="2025-02-25"/>
    <s v="C34266"/>
    <x v="0"/>
    <n v="4"/>
    <n v="629.88"/>
    <s v="550 Main St"/>
    <x v="0"/>
    <x v="1"/>
    <s v="TRK56378197"/>
    <n v="8"/>
    <s v="WINTER15"/>
    <x v="0"/>
    <n v="2519.52"/>
  </r>
  <r>
    <s v="ORD200550"/>
    <s v="2023-10-29"/>
    <s v="C97485"/>
    <x v="5"/>
    <n v="4"/>
    <n v="228.91"/>
    <s v="573 Main St"/>
    <x v="4"/>
    <x v="0"/>
    <s v="TRK81794737"/>
    <n v="4"/>
    <s v="FREESHIP"/>
    <x v="4"/>
    <n v="915.64"/>
  </r>
  <r>
    <s v="ORD200551"/>
    <s v="2023-05-18"/>
    <s v="C23947"/>
    <x v="5"/>
    <n v="1"/>
    <n v="120.98"/>
    <s v="353 Main St"/>
    <x v="0"/>
    <x v="3"/>
    <s v="TRK74812710"/>
    <n v="6"/>
    <s v="WINTER15"/>
    <x v="2"/>
    <n v="120.98"/>
  </r>
  <r>
    <s v="ORD200552"/>
    <s v="2023-09-30"/>
    <s v="C21665"/>
    <x v="3"/>
    <n v="4"/>
    <n v="425.18"/>
    <s v="560 Main St"/>
    <x v="1"/>
    <x v="2"/>
    <s v="TRK29890761"/>
    <n v="8"/>
    <s v="WINTER15"/>
    <x v="3"/>
    <n v="1700.72"/>
  </r>
  <r>
    <s v="ORD200553"/>
    <s v="2023-08-23"/>
    <s v="C82550"/>
    <x v="1"/>
    <n v="2"/>
    <n v="333.83"/>
    <s v="828 Main St"/>
    <x v="3"/>
    <x v="1"/>
    <s v="TRK74103758"/>
    <n v="4"/>
    <s v="FREESHIP"/>
    <x v="1"/>
    <n v="667.66"/>
  </r>
  <r>
    <s v="ORD200554"/>
    <s v="2025-05-30"/>
    <s v="C61943"/>
    <x v="5"/>
    <n v="2"/>
    <n v="492.9"/>
    <s v="610 Main St"/>
    <x v="4"/>
    <x v="2"/>
    <s v="TRK66126496"/>
    <n v="5"/>
    <s v="FREESHIP"/>
    <x v="0"/>
    <n v="985.8"/>
  </r>
  <r>
    <s v="ORD200555"/>
    <s v="2023-01-07"/>
    <s v="C88933"/>
    <x v="2"/>
    <n v="1"/>
    <n v="92.04"/>
    <s v="333 Main St"/>
    <x v="4"/>
    <x v="0"/>
    <s v="TRK89306964"/>
    <n v="2"/>
    <s v="None"/>
    <x v="3"/>
    <n v="92.04"/>
  </r>
  <r>
    <s v="ORD200556"/>
    <s v="2023-01-28"/>
    <s v="C30923"/>
    <x v="5"/>
    <n v="1"/>
    <n v="654.27"/>
    <s v="932 Main St"/>
    <x v="3"/>
    <x v="4"/>
    <s v="TRK82609328"/>
    <n v="2"/>
    <s v="SAVE10"/>
    <x v="3"/>
    <n v="654.27"/>
  </r>
  <r>
    <s v="ORD200557"/>
    <s v="2023-06-29"/>
    <s v="C56969"/>
    <x v="2"/>
    <n v="1"/>
    <n v="56.2"/>
    <s v="130 Main St"/>
    <x v="0"/>
    <x v="4"/>
    <s v="TRK40719215"/>
    <n v="1"/>
    <s v="WINTER15"/>
    <x v="3"/>
    <n v="56.2"/>
  </r>
  <r>
    <s v="ORD200558"/>
    <s v="2024-07-16"/>
    <s v="C76766"/>
    <x v="1"/>
    <n v="4"/>
    <n v="628.12"/>
    <s v="485 Main St"/>
    <x v="1"/>
    <x v="3"/>
    <s v="TRK32052962"/>
    <n v="6"/>
    <s v="WINTER15"/>
    <x v="0"/>
    <n v="2512.48"/>
  </r>
  <r>
    <s v="ORD200559"/>
    <s v="2024-04-15"/>
    <s v="C22981"/>
    <x v="6"/>
    <n v="3"/>
    <n v="157.4"/>
    <s v="454 Main St"/>
    <x v="0"/>
    <x v="1"/>
    <s v="TRK10115285"/>
    <n v="7"/>
    <s v="WINTER15"/>
    <x v="2"/>
    <n v="472.2"/>
  </r>
  <r>
    <s v="ORD200560"/>
    <s v="2023-01-31"/>
    <s v="C33634"/>
    <x v="0"/>
    <n v="4"/>
    <n v="588.85"/>
    <s v="524 Main St"/>
    <x v="3"/>
    <x v="4"/>
    <s v="TRK93168008"/>
    <n v="7"/>
    <s v="None"/>
    <x v="2"/>
    <n v="2355.4"/>
  </r>
  <r>
    <s v="ORD200561"/>
    <s v="2023-01-31"/>
    <s v="C96822"/>
    <x v="4"/>
    <n v="2"/>
    <n v="494.78"/>
    <s v="198 Main St"/>
    <x v="1"/>
    <x v="0"/>
    <s v="TRK89180077"/>
    <n v="2"/>
    <s v="None"/>
    <x v="4"/>
    <n v="989.56"/>
  </r>
  <r>
    <s v="ORD200562"/>
    <s v="2023-10-06"/>
    <s v="C76675"/>
    <x v="5"/>
    <n v="3"/>
    <n v="663.93"/>
    <s v="922 Main St"/>
    <x v="3"/>
    <x v="2"/>
    <s v="TRK28043915"/>
    <n v="6"/>
    <s v="FREESHIP"/>
    <x v="2"/>
    <n v="1991.79"/>
  </r>
  <r>
    <s v="ORD200563"/>
    <s v="2023-12-12"/>
    <s v="C12039"/>
    <x v="5"/>
    <n v="1"/>
    <n v="132.68"/>
    <s v="844 Main St"/>
    <x v="0"/>
    <x v="2"/>
    <s v="TRK68645763"/>
    <n v="1"/>
    <s v="SAVE10"/>
    <x v="1"/>
    <n v="132.68"/>
  </r>
  <r>
    <s v="ORD200564"/>
    <s v="2025-04-08"/>
    <s v="C93309"/>
    <x v="6"/>
    <n v="5"/>
    <n v="364.28"/>
    <s v="734 Main St"/>
    <x v="2"/>
    <x v="1"/>
    <s v="TRK99446987"/>
    <n v="5"/>
    <s v="WINTER15"/>
    <x v="4"/>
    <n v="1821.4"/>
  </r>
  <r>
    <s v="ORD200565"/>
    <s v="2023-05-14"/>
    <s v="C62042"/>
    <x v="2"/>
    <n v="5"/>
    <n v="307.98"/>
    <s v="214 Main St"/>
    <x v="1"/>
    <x v="4"/>
    <s v="TRK42605492"/>
    <n v="10"/>
    <s v="None"/>
    <x v="3"/>
    <n v="1539.9"/>
  </r>
  <r>
    <s v="ORD200566"/>
    <s v="2024-04-18"/>
    <s v="C83223"/>
    <x v="1"/>
    <n v="4"/>
    <n v="162.71"/>
    <s v="167 Main St"/>
    <x v="4"/>
    <x v="1"/>
    <s v="TRK54339083"/>
    <n v="7"/>
    <s v="FREESHIP"/>
    <x v="2"/>
    <n v="650.84"/>
  </r>
  <r>
    <s v="ORD200567"/>
    <s v="2024-09-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s v="2023-03-10"/>
    <s v="C29072"/>
    <x v="5"/>
    <n v="2"/>
    <n v="343.99"/>
    <s v="312 Main St"/>
    <x v="1"/>
    <x v="3"/>
    <s v="TRK72334047"/>
    <n v="4"/>
    <s v="None"/>
    <x v="4"/>
    <n v="687.98"/>
  </r>
  <r>
    <s v="ORD200569"/>
    <s v="2025-03-22"/>
    <s v="C25783"/>
    <x v="6"/>
    <n v="5"/>
    <n v="250.68"/>
    <s v="672 Main St"/>
    <x v="4"/>
    <x v="0"/>
    <s v="TRK13289741"/>
    <n v="8"/>
    <s v="SAVE10"/>
    <x v="0"/>
    <n v="1253.4000000000001"/>
  </r>
  <r>
    <s v="ORD200570"/>
    <s v="2024-12-27"/>
    <s v="C63727"/>
    <x v="6"/>
    <n v="2"/>
    <n v="362.14"/>
    <s v="122 Main St"/>
    <x v="0"/>
    <x v="4"/>
    <s v="TRK13611021"/>
    <n v="2"/>
    <s v="SAVE10"/>
    <x v="0"/>
    <n v="724.28"/>
  </r>
  <r>
    <s v="ORD200571"/>
    <s v="2024-11-23"/>
    <s v="C42365"/>
    <x v="2"/>
    <n v="1"/>
    <n v="214.08"/>
    <s v="867 Main St"/>
    <x v="3"/>
    <x v="2"/>
    <s v="TRK39563288"/>
    <n v="2"/>
    <s v="WINTER15"/>
    <x v="4"/>
    <n v="214.08"/>
  </r>
  <r>
    <s v="ORD200572"/>
    <s v="2023-11-11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s v="2023-01-25"/>
    <s v="C13205"/>
    <x v="3"/>
    <n v="5"/>
    <n v="421.42"/>
    <s v="522 Main St"/>
    <x v="0"/>
    <x v="1"/>
    <s v="TRK30686578"/>
    <n v="7"/>
    <s v="None"/>
    <x v="0"/>
    <n v="2107.1"/>
  </r>
  <r>
    <s v="ORD200574"/>
    <s v="2024-01-24"/>
    <s v="C29685"/>
    <x v="3"/>
    <n v="5"/>
    <n v="384.69"/>
    <s v="275 Main St"/>
    <x v="2"/>
    <x v="4"/>
    <s v="TRK97733212"/>
    <n v="6"/>
    <s v="FREESHIP"/>
    <x v="2"/>
    <n v="1923.45"/>
  </r>
  <r>
    <s v="ORD200575"/>
    <s v="2023-06-07"/>
    <s v="C74005"/>
    <x v="3"/>
    <n v="5"/>
    <n v="448.15"/>
    <s v="528 Main St"/>
    <x v="3"/>
    <x v="2"/>
    <s v="TRK61640534"/>
    <n v="7"/>
    <s v="SAVE10"/>
    <x v="4"/>
    <n v="2240.75"/>
  </r>
  <r>
    <s v="ORD200576"/>
    <s v="2024-05-29"/>
    <s v="C14457"/>
    <x v="5"/>
    <n v="5"/>
    <n v="79.08"/>
    <s v="747 Main St"/>
    <x v="4"/>
    <x v="4"/>
    <s v="TRK42517811"/>
    <n v="8"/>
    <s v="None"/>
    <x v="3"/>
    <n v="395.4"/>
  </r>
  <r>
    <s v="ORD200577"/>
    <s v="2023-01-22"/>
    <s v="C77046"/>
    <x v="2"/>
    <n v="4"/>
    <n v="185.41"/>
    <s v="967 Main St"/>
    <x v="1"/>
    <x v="2"/>
    <s v="TRK44401497"/>
    <n v="9"/>
    <s v="WINTER15"/>
    <x v="4"/>
    <n v="741.64"/>
  </r>
  <r>
    <s v="ORD200578"/>
    <s v="2024-10-10"/>
    <s v="C50415"/>
    <x v="0"/>
    <n v="5"/>
    <n v="566.07000000000005"/>
    <s v="587 Main St"/>
    <x v="2"/>
    <x v="3"/>
    <s v="TRK41345634"/>
    <n v="6"/>
    <s v="SAVE10"/>
    <x v="0"/>
    <n v="2830.35"/>
  </r>
  <r>
    <s v="ORD200579"/>
    <s v="2023-06-04"/>
    <s v="C73999"/>
    <x v="2"/>
    <n v="2"/>
    <n v="187.88"/>
    <s v="413 Main St"/>
    <x v="1"/>
    <x v="0"/>
    <s v="TRK67919507"/>
    <n v="4"/>
    <s v="WINTER15"/>
    <x v="3"/>
    <n v="375.76"/>
  </r>
  <r>
    <s v="ORD200580"/>
    <s v="2023-11-14"/>
    <s v="C71076"/>
    <x v="0"/>
    <n v="2"/>
    <n v="255.99"/>
    <s v="340 Main St"/>
    <x v="2"/>
    <x v="3"/>
    <s v="TRK65148292"/>
    <n v="4"/>
    <s v="SAVE10"/>
    <x v="0"/>
    <n v="511.98"/>
  </r>
  <r>
    <s v="ORD200581"/>
    <s v="2024-11-11"/>
    <s v="C44674"/>
    <x v="5"/>
    <n v="1"/>
    <n v="627.34"/>
    <s v="942 Main St"/>
    <x v="1"/>
    <x v="3"/>
    <s v="TRK87158684"/>
    <n v="1"/>
    <s v="None"/>
    <x v="1"/>
    <n v="627.34"/>
  </r>
  <r>
    <s v="ORD200582"/>
    <s v="2024-02-19"/>
    <s v="C15228"/>
    <x v="2"/>
    <n v="3"/>
    <n v="474.14"/>
    <s v="558 Main St"/>
    <x v="3"/>
    <x v="0"/>
    <s v="TRK33860620"/>
    <n v="8"/>
    <s v="WINTER15"/>
    <x v="4"/>
    <n v="1422.42"/>
  </r>
  <r>
    <s v="ORD200583"/>
    <s v="2025-06-15"/>
    <s v="C27072"/>
    <x v="3"/>
    <n v="3"/>
    <n v="154.37"/>
    <s v="996 Main St"/>
    <x v="3"/>
    <x v="3"/>
    <s v="TRK29750379"/>
    <n v="4"/>
    <s v="None"/>
    <x v="0"/>
    <n v="463.11"/>
  </r>
  <r>
    <s v="ORD200584"/>
    <s v="2025-03-21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s v="2023-08-20"/>
    <s v="C91486"/>
    <x v="2"/>
    <n v="4"/>
    <n v="67.08"/>
    <s v="907 Main St"/>
    <x v="4"/>
    <x v="2"/>
    <s v="TRK79617136"/>
    <n v="8"/>
    <s v="WINTER15"/>
    <x v="4"/>
    <n v="268.32"/>
  </r>
  <r>
    <s v="ORD200586"/>
    <s v="2024-11-1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s v="2023-06-12"/>
    <s v="C18820"/>
    <x v="0"/>
    <n v="5"/>
    <n v="514.6"/>
    <s v="347 Main St"/>
    <x v="3"/>
    <x v="3"/>
    <s v="TRK91547425"/>
    <n v="10"/>
    <s v="FREESHIP"/>
    <x v="0"/>
    <n v="2573"/>
  </r>
  <r>
    <s v="ORD200588"/>
    <s v="2024-12-10"/>
    <s v="C61849"/>
    <x v="0"/>
    <n v="4"/>
    <n v="577.82000000000005"/>
    <s v="811 Main St"/>
    <x v="2"/>
    <x v="3"/>
    <s v="TRK47613918"/>
    <n v="9"/>
    <s v="None"/>
    <x v="4"/>
    <n v="2311.2800000000002"/>
  </r>
  <r>
    <s v="ORD200589"/>
    <s v="2025-02-10"/>
    <s v="C84041"/>
    <x v="5"/>
    <n v="2"/>
    <n v="500.8"/>
    <s v="900 Main St"/>
    <x v="4"/>
    <x v="3"/>
    <s v="TRK84920444"/>
    <n v="3"/>
    <s v="FREESHIP"/>
    <x v="1"/>
    <n v="1001.6"/>
  </r>
  <r>
    <s v="ORD200590"/>
    <s v="2023-09-10"/>
    <s v="C55757"/>
    <x v="4"/>
    <n v="2"/>
    <n v="461.13"/>
    <s v="175 Main St"/>
    <x v="3"/>
    <x v="2"/>
    <s v="TRK27356242"/>
    <n v="4"/>
    <s v="None"/>
    <x v="2"/>
    <n v="922.26"/>
  </r>
  <r>
    <s v="ORD200591"/>
    <s v="2024-11-18"/>
    <s v="C18187"/>
    <x v="5"/>
    <n v="1"/>
    <n v="605.28"/>
    <s v="470 Main St"/>
    <x v="3"/>
    <x v="0"/>
    <s v="TRK50528185"/>
    <n v="3"/>
    <s v="FREESHIP"/>
    <x v="1"/>
    <n v="605.28"/>
  </r>
  <r>
    <s v="ORD200592"/>
    <s v="2024-04-23"/>
    <s v="C42306"/>
    <x v="1"/>
    <n v="3"/>
    <n v="204.27"/>
    <s v="938 Main St"/>
    <x v="1"/>
    <x v="2"/>
    <s v="TRK15499648"/>
    <n v="4"/>
    <s v="None"/>
    <x v="4"/>
    <n v="612.80999999999995"/>
  </r>
  <r>
    <s v="ORD200593"/>
    <s v="2023-08-02"/>
    <s v="C51024"/>
    <x v="0"/>
    <n v="1"/>
    <n v="489.8"/>
    <s v="636 Main St"/>
    <x v="3"/>
    <x v="0"/>
    <s v="TRK31375086"/>
    <n v="4"/>
    <s v="FREESHIP"/>
    <x v="3"/>
    <n v="489.8"/>
  </r>
  <r>
    <s v="ORD200594"/>
    <s v="2024-02-21"/>
    <s v="C40140"/>
    <x v="1"/>
    <n v="5"/>
    <n v="72.64"/>
    <s v="598 Main St"/>
    <x v="2"/>
    <x v="1"/>
    <s v="TRK12671989"/>
    <n v="7"/>
    <s v="None"/>
    <x v="2"/>
    <n v="363.2"/>
  </r>
  <r>
    <s v="ORD200595"/>
    <s v="2025-01-10"/>
    <s v="C72596"/>
    <x v="4"/>
    <n v="2"/>
    <n v="385.16"/>
    <s v="491 Main St"/>
    <x v="1"/>
    <x v="4"/>
    <s v="TRK83870446"/>
    <n v="7"/>
    <s v="SAVE10"/>
    <x v="2"/>
    <n v="770.32"/>
  </r>
  <r>
    <s v="ORD200596"/>
    <s v="2023-06-12"/>
    <s v="C91805"/>
    <x v="6"/>
    <n v="3"/>
    <n v="606.41"/>
    <s v="653 Main St"/>
    <x v="0"/>
    <x v="2"/>
    <s v="TRK34504030"/>
    <n v="7"/>
    <s v="FREESHIP"/>
    <x v="3"/>
    <n v="1819.23"/>
  </r>
  <r>
    <s v="ORD200597"/>
    <s v="2024-11-25"/>
    <s v="C40538"/>
    <x v="6"/>
    <n v="2"/>
    <n v="211.82"/>
    <s v="700 Main St"/>
    <x v="3"/>
    <x v="1"/>
    <s v="TRK29821356"/>
    <n v="4"/>
    <s v="WINTER15"/>
    <x v="2"/>
    <n v="423.64"/>
  </r>
  <r>
    <s v="ORD200598"/>
    <s v="2024-04-26"/>
    <s v="C60329"/>
    <x v="6"/>
    <n v="5"/>
    <n v="495.35"/>
    <s v="826 Main St"/>
    <x v="2"/>
    <x v="4"/>
    <s v="TRK59069987"/>
    <n v="5"/>
    <s v="None"/>
    <x v="3"/>
    <n v="2476.75"/>
  </r>
  <r>
    <s v="ORD200599"/>
    <s v="2023-06-30"/>
    <s v="C28740"/>
    <x v="3"/>
    <n v="3"/>
    <n v="556.99"/>
    <s v="123 Main St"/>
    <x v="1"/>
    <x v="1"/>
    <s v="TRK33642221"/>
    <n v="4"/>
    <s v="FREESHIP"/>
    <x v="3"/>
    <n v="1670.97"/>
  </r>
  <r>
    <s v="ORD200600"/>
    <s v="2023-05-26"/>
    <s v="C87051"/>
    <x v="4"/>
    <n v="1"/>
    <n v="72.31"/>
    <s v="460 Main St"/>
    <x v="3"/>
    <x v="1"/>
    <s v="TRK82056333"/>
    <n v="1"/>
    <s v="FREESHIP"/>
    <x v="3"/>
    <n v="72.31"/>
  </r>
  <r>
    <s v="ORD200601"/>
    <s v="2023-10-02"/>
    <s v="C12479"/>
    <x v="0"/>
    <n v="5"/>
    <n v="24.82"/>
    <s v="529 Main St"/>
    <x v="2"/>
    <x v="0"/>
    <s v="TRK73935314"/>
    <n v="10"/>
    <s v="None"/>
    <x v="1"/>
    <n v="124.1"/>
  </r>
  <r>
    <s v="ORD200602"/>
    <s v="2024-03-05"/>
    <s v="C35852"/>
    <x v="2"/>
    <n v="4"/>
    <n v="26.04"/>
    <s v="982 Main St"/>
    <x v="1"/>
    <x v="4"/>
    <s v="TRK64660134"/>
    <n v="5"/>
    <s v="SAVE10"/>
    <x v="0"/>
    <n v="104.16"/>
  </r>
  <r>
    <s v="ORD200603"/>
    <s v="2024-10-04"/>
    <s v="C26223"/>
    <x v="2"/>
    <n v="1"/>
    <n v="657.07"/>
    <s v="800 Main St"/>
    <x v="4"/>
    <x v="4"/>
    <s v="TRK50900547"/>
    <n v="4"/>
    <s v="SAVE10"/>
    <x v="4"/>
    <n v="657.07"/>
  </r>
  <r>
    <s v="ORD200604"/>
    <s v="2025-06-22"/>
    <s v="C99214"/>
    <x v="3"/>
    <n v="3"/>
    <n v="32.619999999999997"/>
    <s v="252 Main St"/>
    <x v="0"/>
    <x v="3"/>
    <s v="TRK81368481"/>
    <n v="6"/>
    <s v="None"/>
    <x v="3"/>
    <n v="97.86"/>
  </r>
  <r>
    <s v="ORD200605"/>
    <s v="2024-05-10"/>
    <s v="C49605"/>
    <x v="0"/>
    <n v="2"/>
    <n v="228.91"/>
    <s v="892 Main St"/>
    <x v="0"/>
    <x v="0"/>
    <s v="TRK95620066"/>
    <n v="4"/>
    <s v="SAVE10"/>
    <x v="1"/>
    <n v="457.82"/>
  </r>
  <r>
    <s v="ORD200606"/>
    <s v="2024-11-06"/>
    <s v="C85018"/>
    <x v="5"/>
    <n v="3"/>
    <n v="274.75"/>
    <s v="783 Main St"/>
    <x v="4"/>
    <x v="1"/>
    <s v="TRK54128886"/>
    <n v="3"/>
    <s v="SAVE10"/>
    <x v="4"/>
    <n v="824.25"/>
  </r>
  <r>
    <s v="ORD200607"/>
    <s v="2025-05-31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s v="2024-07-24"/>
    <s v="C32956"/>
    <x v="5"/>
    <n v="5"/>
    <n v="543.16"/>
    <s v="788 Main St"/>
    <x v="1"/>
    <x v="1"/>
    <s v="TRK73140103"/>
    <n v="6"/>
    <s v="SAVE10"/>
    <x v="0"/>
    <n v="2715.8"/>
  </r>
  <r>
    <s v="ORD200609"/>
    <s v="2025-01-27"/>
    <s v="C41137"/>
    <x v="3"/>
    <n v="3"/>
    <n v="449.13"/>
    <s v="809 Main St"/>
    <x v="4"/>
    <x v="2"/>
    <s v="TRK52732162"/>
    <n v="5"/>
    <s v="WINTER15"/>
    <x v="1"/>
    <n v="1347.39"/>
  </r>
  <r>
    <s v="ORD200610"/>
    <s v="2024-06-16"/>
    <s v="C60361"/>
    <x v="6"/>
    <n v="5"/>
    <n v="389.62"/>
    <s v="623 Main St"/>
    <x v="4"/>
    <x v="2"/>
    <s v="TRK83566924"/>
    <n v="7"/>
    <s v="FREESHIP"/>
    <x v="3"/>
    <n v="1948.1"/>
  </r>
  <r>
    <s v="ORD200611"/>
    <s v="2023-04-21"/>
    <s v="C36688"/>
    <x v="6"/>
    <n v="1"/>
    <n v="305.17"/>
    <s v="700 Main St"/>
    <x v="3"/>
    <x v="2"/>
    <s v="TRK35720426"/>
    <n v="3"/>
    <s v="WINTER15"/>
    <x v="1"/>
    <n v="305.17"/>
  </r>
  <r>
    <s v="ORD200612"/>
    <s v="2023-06-02"/>
    <s v="C51811"/>
    <x v="3"/>
    <n v="3"/>
    <n v="445.12"/>
    <s v="339 Main St"/>
    <x v="3"/>
    <x v="1"/>
    <s v="TRK82377939"/>
    <n v="8"/>
    <s v="None"/>
    <x v="4"/>
    <n v="1335.36"/>
  </r>
  <r>
    <s v="ORD200613"/>
    <s v="2024-12-19"/>
    <s v="C62405"/>
    <x v="5"/>
    <n v="2"/>
    <n v="230.36"/>
    <s v="154 Main St"/>
    <x v="1"/>
    <x v="2"/>
    <s v="TRK14721763"/>
    <n v="4"/>
    <s v="WINTER15"/>
    <x v="2"/>
    <n v="460.72"/>
  </r>
  <r>
    <s v="ORD200614"/>
    <s v="2024-03-08"/>
    <s v="C77363"/>
    <x v="1"/>
    <n v="1"/>
    <n v="96.81"/>
    <s v="807 Main St"/>
    <x v="3"/>
    <x v="1"/>
    <s v="TRK12439827"/>
    <n v="3"/>
    <s v="None"/>
    <x v="1"/>
    <n v="96.81"/>
  </r>
  <r>
    <s v="ORD200615"/>
    <s v="2025-03-07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s v="2024-10-17"/>
    <s v="C43919"/>
    <x v="2"/>
    <n v="3"/>
    <n v="601.6"/>
    <s v="984 Main St"/>
    <x v="2"/>
    <x v="1"/>
    <s v="TRK73113192"/>
    <n v="7"/>
    <s v="SAVE10"/>
    <x v="3"/>
    <n v="1804.8"/>
  </r>
  <r>
    <s v="ORD200617"/>
    <s v="2024-02-08"/>
    <s v="C57093"/>
    <x v="2"/>
    <n v="3"/>
    <n v="184.47"/>
    <s v="834 Main St"/>
    <x v="1"/>
    <x v="1"/>
    <s v="TRK75469057"/>
    <n v="4"/>
    <s v="None"/>
    <x v="1"/>
    <n v="553.41"/>
  </r>
  <r>
    <s v="ORD200618"/>
    <s v="2024-09-03"/>
    <s v="C50565"/>
    <x v="2"/>
    <n v="1"/>
    <n v="411.34"/>
    <s v="399 Main St"/>
    <x v="0"/>
    <x v="2"/>
    <s v="TRK97981418"/>
    <n v="5"/>
    <s v="None"/>
    <x v="0"/>
    <n v="411.34"/>
  </r>
  <r>
    <s v="ORD200619"/>
    <s v="2024-07-16"/>
    <s v="C38845"/>
    <x v="5"/>
    <n v="1"/>
    <n v="532.89"/>
    <s v="764 Main St"/>
    <x v="3"/>
    <x v="4"/>
    <s v="TRK47637374"/>
    <n v="2"/>
    <s v="None"/>
    <x v="1"/>
    <n v="532.89"/>
  </r>
  <r>
    <s v="ORD200620"/>
    <s v="2024-03-27"/>
    <s v="C84834"/>
    <x v="2"/>
    <n v="3"/>
    <n v="136.34"/>
    <s v="866 Main St"/>
    <x v="0"/>
    <x v="2"/>
    <s v="TRK90136001"/>
    <n v="8"/>
    <s v="SAVE10"/>
    <x v="1"/>
    <n v="409.02"/>
  </r>
  <r>
    <s v="ORD200621"/>
    <s v="2023-10-22"/>
    <s v="C37455"/>
    <x v="1"/>
    <n v="5"/>
    <n v="476.01"/>
    <s v="146 Main St"/>
    <x v="2"/>
    <x v="3"/>
    <s v="TRK82685594"/>
    <n v="7"/>
    <s v="WINTER15"/>
    <x v="4"/>
    <n v="2380.0500000000002"/>
  </r>
  <r>
    <s v="ORD200622"/>
    <s v="2024-11-02"/>
    <s v="C27078"/>
    <x v="6"/>
    <n v="5"/>
    <n v="236.38"/>
    <s v="128 Main St"/>
    <x v="2"/>
    <x v="2"/>
    <s v="TRK89314307"/>
    <n v="7"/>
    <s v="None"/>
    <x v="3"/>
    <n v="1181.9000000000001"/>
  </r>
  <r>
    <s v="ORD200623"/>
    <s v="2023-06-16"/>
    <s v="C91941"/>
    <x v="4"/>
    <n v="3"/>
    <n v="396"/>
    <s v="269 Main St"/>
    <x v="3"/>
    <x v="1"/>
    <s v="TRK21330732"/>
    <n v="4"/>
    <s v="FREESHIP"/>
    <x v="0"/>
    <n v="1188"/>
  </r>
  <r>
    <s v="ORD200624"/>
    <s v="2024-01-16"/>
    <s v="C25967"/>
    <x v="2"/>
    <n v="5"/>
    <n v="341.96"/>
    <s v="747 Main St"/>
    <x v="0"/>
    <x v="3"/>
    <s v="TRK88559278"/>
    <n v="6"/>
    <s v="None"/>
    <x v="2"/>
    <n v="1709.8"/>
  </r>
  <r>
    <s v="ORD200625"/>
    <s v="2023-09-24"/>
    <s v="C22123"/>
    <x v="2"/>
    <n v="1"/>
    <n v="672.89"/>
    <s v="519 Main St"/>
    <x v="2"/>
    <x v="4"/>
    <s v="TRK43250279"/>
    <n v="1"/>
    <s v="WINTER15"/>
    <x v="2"/>
    <n v="672.89"/>
  </r>
  <r>
    <s v="ORD200626"/>
    <s v="2024-03-01"/>
    <s v="C45671"/>
    <x v="2"/>
    <n v="2"/>
    <n v="657.48"/>
    <s v="769 Main St"/>
    <x v="1"/>
    <x v="0"/>
    <s v="TRK18179773"/>
    <n v="5"/>
    <s v="SAVE10"/>
    <x v="1"/>
    <n v="1314.96"/>
  </r>
  <r>
    <s v="ORD200627"/>
    <s v="2023-08-06"/>
    <s v="C53334"/>
    <x v="3"/>
    <n v="3"/>
    <n v="498.68"/>
    <s v="879 Main St"/>
    <x v="1"/>
    <x v="2"/>
    <s v="TRK31724421"/>
    <n v="4"/>
    <s v="FREESHIP"/>
    <x v="2"/>
    <n v="1496.04"/>
  </r>
  <r>
    <s v="ORD200628"/>
    <s v="2023-03-26"/>
    <s v="C18717"/>
    <x v="4"/>
    <n v="5"/>
    <n v="558.63"/>
    <s v="861 Main St"/>
    <x v="4"/>
    <x v="4"/>
    <s v="TRK58568806"/>
    <n v="8"/>
    <s v="FREESHIP"/>
    <x v="1"/>
    <n v="2793.15"/>
  </r>
  <r>
    <s v="ORD200629"/>
    <s v="2023-07-07"/>
    <s v="C50137"/>
    <x v="1"/>
    <n v="3"/>
    <n v="19.73"/>
    <s v="840 Main St"/>
    <x v="1"/>
    <x v="4"/>
    <s v="TRK91836131"/>
    <n v="3"/>
    <s v="None"/>
    <x v="1"/>
    <n v="59.19"/>
  </r>
  <r>
    <s v="ORD200630"/>
    <s v="2023-06-23"/>
    <s v="C51481"/>
    <x v="0"/>
    <n v="5"/>
    <n v="248.84"/>
    <s v="140 Main St"/>
    <x v="0"/>
    <x v="1"/>
    <s v="TRK33437701"/>
    <n v="10"/>
    <s v="None"/>
    <x v="0"/>
    <n v="1244.2"/>
  </r>
  <r>
    <s v="ORD200631"/>
    <s v="2024-08-31"/>
    <s v="C99128"/>
    <x v="3"/>
    <n v="3"/>
    <n v="46.11"/>
    <s v="360 Main St"/>
    <x v="3"/>
    <x v="2"/>
    <s v="TRK32426808"/>
    <n v="5"/>
    <s v="WINTER15"/>
    <x v="1"/>
    <n v="138.33000000000001"/>
  </r>
  <r>
    <s v="ORD200632"/>
    <s v="2023-05-02"/>
    <s v="C67260"/>
    <x v="5"/>
    <n v="5"/>
    <n v="678.16"/>
    <s v="463 Main St"/>
    <x v="3"/>
    <x v="3"/>
    <s v="TRK38229104"/>
    <n v="7"/>
    <s v="WINTER15"/>
    <x v="3"/>
    <n v="3390.8"/>
  </r>
  <r>
    <s v="ORD200633"/>
    <s v="2024-04-10"/>
    <s v="C79533"/>
    <x v="5"/>
    <n v="5"/>
    <n v="601.72"/>
    <s v="921 Main St"/>
    <x v="3"/>
    <x v="1"/>
    <s v="TRK54711422"/>
    <n v="5"/>
    <s v="WINTER15"/>
    <x v="0"/>
    <n v="3008.6"/>
  </r>
  <r>
    <s v="ORD200634"/>
    <s v="2024-04-25"/>
    <s v="C66906"/>
    <x v="4"/>
    <n v="2"/>
    <n v="259.32"/>
    <s v="117 Main St"/>
    <x v="3"/>
    <x v="3"/>
    <s v="TRK31633755"/>
    <n v="2"/>
    <s v="WINTER15"/>
    <x v="1"/>
    <n v="518.64"/>
  </r>
  <r>
    <s v="ORD200635"/>
    <s v="2023-12-13"/>
    <s v="C12818"/>
    <x v="3"/>
    <n v="3"/>
    <n v="63.68"/>
    <s v="434 Main St"/>
    <x v="4"/>
    <x v="2"/>
    <s v="TRK40879983"/>
    <n v="6"/>
    <s v="None"/>
    <x v="3"/>
    <n v="191.04"/>
  </r>
  <r>
    <s v="ORD200636"/>
    <s v="2023-10-05"/>
    <s v="C60384"/>
    <x v="5"/>
    <n v="4"/>
    <n v="371.07"/>
    <s v="336 Main St"/>
    <x v="4"/>
    <x v="1"/>
    <s v="TRK92080037"/>
    <n v="7"/>
    <s v="WINTER15"/>
    <x v="3"/>
    <n v="1484.28"/>
  </r>
  <r>
    <s v="ORD200637"/>
    <s v="2024-09-29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s v="2023-10-15"/>
    <s v="C66840"/>
    <x v="2"/>
    <n v="4"/>
    <n v="578.27"/>
    <s v="547 Main St"/>
    <x v="1"/>
    <x v="3"/>
    <s v="TRK76929637"/>
    <n v="9"/>
    <s v="WINTER15"/>
    <x v="2"/>
    <n v="2313.08"/>
  </r>
  <r>
    <s v="ORD200639"/>
    <s v="2023-01-20"/>
    <s v="C22534"/>
    <x v="3"/>
    <n v="1"/>
    <n v="529.19000000000005"/>
    <s v="391 Main St"/>
    <x v="4"/>
    <x v="1"/>
    <s v="TRK17415798"/>
    <n v="5"/>
    <s v="None"/>
    <x v="1"/>
    <n v="529.19000000000005"/>
  </r>
  <r>
    <s v="ORD200640"/>
    <s v="2024-02-27"/>
    <s v="C46509"/>
    <x v="3"/>
    <n v="2"/>
    <n v="587.49"/>
    <s v="647 Main St"/>
    <x v="3"/>
    <x v="2"/>
    <s v="TRK24241664"/>
    <n v="6"/>
    <s v="SAVE10"/>
    <x v="1"/>
    <n v="1174.98"/>
  </r>
  <r>
    <s v="ORD200641"/>
    <s v="2024-06-3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s v="2024-04-29"/>
    <s v="C15063"/>
    <x v="3"/>
    <n v="5"/>
    <n v="85.22"/>
    <s v="527 Main St"/>
    <x v="2"/>
    <x v="1"/>
    <s v="TRK10329390"/>
    <n v="7"/>
    <s v="FREESHIP"/>
    <x v="2"/>
    <n v="426.1"/>
  </r>
  <r>
    <s v="ORD200643"/>
    <s v="2024-08-26"/>
    <s v="C77122"/>
    <x v="5"/>
    <n v="1"/>
    <n v="438.37"/>
    <s v="647 Main St"/>
    <x v="4"/>
    <x v="1"/>
    <s v="TRK75814880"/>
    <n v="4"/>
    <s v="SAVE10"/>
    <x v="1"/>
    <n v="438.37"/>
  </r>
  <r>
    <s v="ORD200644"/>
    <s v="2023-11-15"/>
    <s v="C86524"/>
    <x v="3"/>
    <n v="2"/>
    <n v="366.23"/>
    <s v="961 Main St"/>
    <x v="4"/>
    <x v="0"/>
    <s v="TRK62490506"/>
    <n v="2"/>
    <s v="WINTER15"/>
    <x v="2"/>
    <n v="732.46"/>
  </r>
  <r>
    <s v="ORD200645"/>
    <s v="2023-01-02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s v="2023-10-27"/>
    <s v="C98761"/>
    <x v="3"/>
    <n v="4"/>
    <n v="498.51"/>
    <s v="804 Main St"/>
    <x v="0"/>
    <x v="0"/>
    <s v="TRK43262630"/>
    <n v="4"/>
    <s v="SAVE10"/>
    <x v="4"/>
    <n v="1994.04"/>
  </r>
  <r>
    <s v="ORD200647"/>
    <s v="2025-04-24"/>
    <s v="C54409"/>
    <x v="6"/>
    <n v="3"/>
    <n v="339.39"/>
    <s v="667 Main St"/>
    <x v="4"/>
    <x v="2"/>
    <s v="TRK67671316"/>
    <n v="7"/>
    <s v="FREESHIP"/>
    <x v="4"/>
    <n v="1018.17"/>
  </r>
  <r>
    <s v="ORD200648"/>
    <s v="2025-01-18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s v="2023-12-23"/>
    <s v="C45899"/>
    <x v="0"/>
    <n v="2"/>
    <n v="642.98"/>
    <s v="153 Main St"/>
    <x v="0"/>
    <x v="2"/>
    <s v="TRK32932093"/>
    <n v="7"/>
    <s v="FREESHIP"/>
    <x v="2"/>
    <n v="1285.96"/>
  </r>
  <r>
    <s v="ORD200650"/>
    <s v="2023-05-18"/>
    <s v="C74499"/>
    <x v="6"/>
    <n v="2"/>
    <n v="372.23"/>
    <s v="518 Main St"/>
    <x v="3"/>
    <x v="3"/>
    <s v="TRK93767278"/>
    <n v="7"/>
    <s v="SAVE10"/>
    <x v="2"/>
    <n v="744.46"/>
  </r>
  <r>
    <s v="ORD200651"/>
    <s v="2024-11-12"/>
    <s v="C81192"/>
    <x v="3"/>
    <n v="3"/>
    <n v="646.34"/>
    <s v="429 Main St"/>
    <x v="0"/>
    <x v="4"/>
    <s v="TRK76931118"/>
    <n v="5"/>
    <s v="None"/>
    <x v="4"/>
    <n v="1939.02"/>
  </r>
  <r>
    <s v="ORD200652"/>
    <s v="2024-06-05"/>
    <s v="C71473"/>
    <x v="3"/>
    <n v="5"/>
    <n v="341.84"/>
    <s v="328 Main St"/>
    <x v="1"/>
    <x v="0"/>
    <s v="TRK94857335"/>
    <n v="8"/>
    <s v="FREESHIP"/>
    <x v="0"/>
    <n v="1709.2"/>
  </r>
  <r>
    <s v="ORD200653"/>
    <s v="2024-02-25"/>
    <s v="C59338"/>
    <x v="4"/>
    <n v="3"/>
    <n v="690.3"/>
    <s v="747 Main St"/>
    <x v="2"/>
    <x v="0"/>
    <s v="TRK12902764"/>
    <n v="6"/>
    <s v="WINTER15"/>
    <x v="4"/>
    <n v="2070.9"/>
  </r>
  <r>
    <s v="ORD200654"/>
    <s v="2023-06-12"/>
    <s v="C62661"/>
    <x v="2"/>
    <n v="3"/>
    <n v="382.37"/>
    <s v="863 Main St"/>
    <x v="0"/>
    <x v="2"/>
    <s v="TRK25748100"/>
    <n v="8"/>
    <s v="None"/>
    <x v="0"/>
    <n v="1147.1099999999999"/>
  </r>
  <r>
    <s v="ORD200655"/>
    <s v="2023-03-14"/>
    <s v="C22101"/>
    <x v="3"/>
    <n v="2"/>
    <n v="132.6"/>
    <s v="262 Main St"/>
    <x v="0"/>
    <x v="1"/>
    <s v="TRK70711522"/>
    <n v="4"/>
    <s v="WINTER15"/>
    <x v="2"/>
    <n v="265.2"/>
  </r>
  <r>
    <s v="ORD200656"/>
    <s v="2024-01-18"/>
    <s v="C51404"/>
    <x v="0"/>
    <n v="2"/>
    <n v="189.06"/>
    <s v="835 Main St"/>
    <x v="3"/>
    <x v="0"/>
    <s v="TRK85682500"/>
    <n v="7"/>
    <s v="SAVE10"/>
    <x v="3"/>
    <n v="378.12"/>
  </r>
  <r>
    <s v="ORD200657"/>
    <s v="2023-12-24"/>
    <s v="C19384"/>
    <x v="2"/>
    <n v="4"/>
    <n v="87.79"/>
    <s v="532 Main St"/>
    <x v="4"/>
    <x v="1"/>
    <s v="TRK33207064"/>
    <n v="6"/>
    <s v="FREESHIP"/>
    <x v="0"/>
    <n v="351.16"/>
  </r>
  <r>
    <s v="ORD200658"/>
    <s v="2025-04-18"/>
    <s v="C86864"/>
    <x v="4"/>
    <n v="2"/>
    <n v="46.36"/>
    <s v="670 Main St"/>
    <x v="3"/>
    <x v="2"/>
    <s v="TRK15323191"/>
    <n v="4"/>
    <s v="SAVE10"/>
    <x v="4"/>
    <n v="92.72"/>
  </r>
  <r>
    <s v="ORD200659"/>
    <s v="2024-10-26"/>
    <s v="C24301"/>
    <x v="1"/>
    <n v="2"/>
    <n v="642.04"/>
    <s v="964 Main St"/>
    <x v="3"/>
    <x v="3"/>
    <s v="TRK55000075"/>
    <n v="4"/>
    <s v="WINTER15"/>
    <x v="2"/>
    <n v="1284.08"/>
  </r>
  <r>
    <s v="ORD200660"/>
    <s v="2024-10-19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s v="2025-02-28"/>
    <s v="C63657"/>
    <x v="2"/>
    <n v="3"/>
    <n v="424.89"/>
    <s v="116 Main St"/>
    <x v="0"/>
    <x v="1"/>
    <s v="TRK86378984"/>
    <n v="6"/>
    <s v="FREESHIP"/>
    <x v="4"/>
    <n v="1274.67"/>
  </r>
  <r>
    <s v="ORD200662"/>
    <s v="2023-01-28"/>
    <s v="C98332"/>
    <x v="5"/>
    <n v="3"/>
    <n v="438.89"/>
    <s v="985 Main St"/>
    <x v="4"/>
    <x v="2"/>
    <s v="TRK85744797"/>
    <n v="3"/>
    <s v="None"/>
    <x v="3"/>
    <n v="1316.67"/>
  </r>
  <r>
    <s v="ORD200663"/>
    <s v="2024-04-15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s v="2024-12-19"/>
    <s v="C14847"/>
    <x v="5"/>
    <n v="4"/>
    <n v="194.75"/>
    <s v="188 Main St"/>
    <x v="4"/>
    <x v="0"/>
    <s v="TRK46492755"/>
    <n v="5"/>
    <s v="None"/>
    <x v="3"/>
    <n v="779"/>
  </r>
  <r>
    <s v="ORD200665"/>
    <s v="2023-05-02"/>
    <s v="C83653"/>
    <x v="2"/>
    <n v="4"/>
    <n v="231.26"/>
    <s v="253 Main St"/>
    <x v="1"/>
    <x v="0"/>
    <s v="TRK32619935"/>
    <n v="6"/>
    <s v="WINTER15"/>
    <x v="4"/>
    <n v="925.04"/>
  </r>
  <r>
    <s v="ORD200666"/>
    <s v="2024-08-31"/>
    <s v="C35711"/>
    <x v="0"/>
    <n v="4"/>
    <n v="327.12"/>
    <s v="788 Main St"/>
    <x v="2"/>
    <x v="1"/>
    <s v="TRK45281495"/>
    <n v="4"/>
    <s v="None"/>
    <x v="2"/>
    <n v="1308.48"/>
  </r>
  <r>
    <s v="ORD200667"/>
    <s v="2023-05-03"/>
    <s v="C10477"/>
    <x v="5"/>
    <n v="1"/>
    <n v="466.42"/>
    <s v="172 Main St"/>
    <x v="3"/>
    <x v="4"/>
    <s v="TRK41505339"/>
    <n v="5"/>
    <s v="SAVE10"/>
    <x v="2"/>
    <n v="466.42"/>
  </r>
  <r>
    <s v="ORD200668"/>
    <s v="2024-07-05"/>
    <s v="C61257"/>
    <x v="0"/>
    <n v="2"/>
    <n v="253.67"/>
    <s v="981 Main St"/>
    <x v="4"/>
    <x v="2"/>
    <s v="TRK25226070"/>
    <n v="3"/>
    <s v="WINTER15"/>
    <x v="3"/>
    <n v="507.34"/>
  </r>
  <r>
    <s v="ORD200669"/>
    <s v="2023-02-05"/>
    <s v="C60547"/>
    <x v="6"/>
    <n v="1"/>
    <n v="257"/>
    <s v="812 Main St"/>
    <x v="0"/>
    <x v="1"/>
    <s v="TRK65694249"/>
    <n v="5"/>
    <s v="None"/>
    <x v="1"/>
    <n v="257"/>
  </r>
  <r>
    <s v="ORD200670"/>
    <s v="2024-04-18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s v="2023-06-15"/>
    <s v="C49282"/>
    <x v="3"/>
    <n v="5"/>
    <n v="50.74"/>
    <s v="737 Main St"/>
    <x v="3"/>
    <x v="1"/>
    <s v="TRK88653901"/>
    <n v="7"/>
    <s v="WINTER15"/>
    <x v="4"/>
    <n v="253.7"/>
  </r>
  <r>
    <s v="ORD200672"/>
    <s v="2023-05-09"/>
    <s v="C14017"/>
    <x v="1"/>
    <n v="2"/>
    <n v="624.16"/>
    <s v="984 Main St"/>
    <x v="0"/>
    <x v="0"/>
    <s v="TRK71009446"/>
    <n v="2"/>
    <s v="SAVE10"/>
    <x v="0"/>
    <n v="1248.32"/>
  </r>
  <r>
    <s v="ORD200673"/>
    <s v="2023-02-21"/>
    <s v="C46504"/>
    <x v="2"/>
    <n v="2"/>
    <n v="372.92"/>
    <s v="131 Main St"/>
    <x v="2"/>
    <x v="3"/>
    <s v="TRK95024356"/>
    <n v="7"/>
    <s v="SAVE10"/>
    <x v="2"/>
    <n v="745.84"/>
  </r>
  <r>
    <s v="ORD200674"/>
    <s v="2024-01-09"/>
    <s v="C56928"/>
    <x v="5"/>
    <n v="4"/>
    <n v="358.75"/>
    <s v="860 Main St"/>
    <x v="3"/>
    <x v="3"/>
    <s v="TRK57792939"/>
    <n v="9"/>
    <s v="SAVE10"/>
    <x v="3"/>
    <n v="1435"/>
  </r>
  <r>
    <s v="ORD200675"/>
    <s v="2024-08-06"/>
    <s v="C97749"/>
    <x v="6"/>
    <n v="3"/>
    <n v="342.02"/>
    <s v="906 Main St"/>
    <x v="0"/>
    <x v="4"/>
    <s v="TRK90233116"/>
    <n v="5"/>
    <s v="None"/>
    <x v="2"/>
    <n v="1026.06"/>
  </r>
  <r>
    <s v="ORD200676"/>
    <s v="2025-06-23"/>
    <s v="C90431"/>
    <x v="5"/>
    <n v="2"/>
    <n v="422.34"/>
    <s v="985 Main St"/>
    <x v="2"/>
    <x v="1"/>
    <s v="TRK44151723"/>
    <n v="4"/>
    <s v="FREESHIP"/>
    <x v="0"/>
    <n v="844.68"/>
  </r>
  <r>
    <s v="ORD200677"/>
    <s v="2025-04-03"/>
    <s v="C56722"/>
    <x v="2"/>
    <n v="5"/>
    <n v="22.07"/>
    <s v="179 Main St"/>
    <x v="1"/>
    <x v="1"/>
    <s v="TRK78778569"/>
    <n v="7"/>
    <s v="FREESHIP"/>
    <x v="0"/>
    <n v="110.35"/>
  </r>
  <r>
    <s v="ORD200678"/>
    <s v="2024-11-24"/>
    <s v="C40863"/>
    <x v="3"/>
    <n v="3"/>
    <n v="163.13"/>
    <s v="457 Main St"/>
    <x v="3"/>
    <x v="0"/>
    <s v="TRK20553345"/>
    <n v="5"/>
    <s v="WINTER15"/>
    <x v="3"/>
    <n v="489.39"/>
  </r>
  <r>
    <s v="ORD200679"/>
    <s v="2023-02-02"/>
    <s v="C40798"/>
    <x v="2"/>
    <n v="3"/>
    <n v="360.66"/>
    <s v="304 Main St"/>
    <x v="1"/>
    <x v="2"/>
    <s v="TRK66106697"/>
    <n v="5"/>
    <s v="FREESHIP"/>
    <x v="0"/>
    <n v="1081.98"/>
  </r>
  <r>
    <s v="ORD200680"/>
    <s v="2023-08-27"/>
    <s v="C16702"/>
    <x v="0"/>
    <n v="3"/>
    <n v="463.39"/>
    <s v="694 Main St"/>
    <x v="2"/>
    <x v="2"/>
    <s v="TRK16953491"/>
    <n v="3"/>
    <s v="None"/>
    <x v="3"/>
    <n v="1390.17"/>
  </r>
  <r>
    <s v="ORD200681"/>
    <s v="2024-01-30"/>
    <s v="C38262"/>
    <x v="2"/>
    <n v="1"/>
    <n v="155.27000000000001"/>
    <s v="548 Main St"/>
    <x v="0"/>
    <x v="0"/>
    <s v="TRK47300502"/>
    <n v="6"/>
    <s v="None"/>
    <x v="2"/>
    <n v="155.27000000000001"/>
  </r>
  <r>
    <s v="ORD200682"/>
    <s v="2023-07-23"/>
    <s v="C50274"/>
    <x v="0"/>
    <n v="3"/>
    <n v="509.42"/>
    <s v="449 Main St"/>
    <x v="2"/>
    <x v="1"/>
    <s v="TRK91729086"/>
    <n v="5"/>
    <s v="FREESHIP"/>
    <x v="4"/>
    <n v="1528.26"/>
  </r>
  <r>
    <s v="ORD200683"/>
    <s v="2025-05-18"/>
    <s v="C91591"/>
    <x v="6"/>
    <n v="4"/>
    <n v="652.48"/>
    <s v="887 Main St"/>
    <x v="4"/>
    <x v="4"/>
    <s v="TRK23554043"/>
    <n v="5"/>
    <s v="FREESHIP"/>
    <x v="0"/>
    <n v="2609.92"/>
  </r>
  <r>
    <s v="ORD200684"/>
    <s v="2024-09-22"/>
    <s v="C96583"/>
    <x v="4"/>
    <n v="4"/>
    <n v="34.840000000000003"/>
    <s v="288 Main St"/>
    <x v="2"/>
    <x v="0"/>
    <s v="TRK64353241"/>
    <n v="8"/>
    <s v="None"/>
    <x v="2"/>
    <n v="139.36000000000001"/>
  </r>
  <r>
    <s v="ORD200685"/>
    <s v="2025-02-07"/>
    <s v="C64579"/>
    <x v="6"/>
    <n v="1"/>
    <n v="234.37"/>
    <s v="638 Main St"/>
    <x v="0"/>
    <x v="0"/>
    <s v="TRK10276565"/>
    <n v="5"/>
    <s v="FREESHIP"/>
    <x v="2"/>
    <n v="234.37"/>
  </r>
  <r>
    <s v="ORD200686"/>
    <s v="2023-10-09"/>
    <s v="C41903"/>
    <x v="6"/>
    <n v="3"/>
    <n v="53.6"/>
    <s v="525 Main St"/>
    <x v="4"/>
    <x v="4"/>
    <s v="TRK59112382"/>
    <n v="4"/>
    <s v="WINTER15"/>
    <x v="3"/>
    <n v="160.80000000000001"/>
  </r>
  <r>
    <s v="ORD200687"/>
    <s v="2023-09-13"/>
    <s v="C19742"/>
    <x v="2"/>
    <n v="1"/>
    <n v="332.09"/>
    <s v="408 Main St"/>
    <x v="3"/>
    <x v="2"/>
    <s v="TRK68845230"/>
    <n v="5"/>
    <s v="FREESHIP"/>
    <x v="0"/>
    <n v="332.09"/>
  </r>
  <r>
    <s v="ORD200688"/>
    <s v="2024-03-06"/>
    <s v="C20077"/>
    <x v="0"/>
    <n v="4"/>
    <n v="593.22"/>
    <s v="154 Main St"/>
    <x v="2"/>
    <x v="1"/>
    <s v="TRK36415742"/>
    <n v="8"/>
    <s v="WINTER15"/>
    <x v="3"/>
    <n v="2372.88"/>
  </r>
  <r>
    <s v="ORD200689"/>
    <s v="2023-08-29"/>
    <s v="C13186"/>
    <x v="2"/>
    <n v="2"/>
    <n v="444.84"/>
    <s v="787 Main St"/>
    <x v="1"/>
    <x v="0"/>
    <s v="TRK56967415"/>
    <n v="7"/>
    <s v="None"/>
    <x v="3"/>
    <n v="889.68"/>
  </r>
  <r>
    <s v="ORD200690"/>
    <s v="2024-07-12"/>
    <s v="C29318"/>
    <x v="0"/>
    <n v="1"/>
    <n v="24.48"/>
    <s v="128 Main St"/>
    <x v="3"/>
    <x v="2"/>
    <s v="TRK88666721"/>
    <n v="1"/>
    <s v="None"/>
    <x v="0"/>
    <n v="24.48"/>
  </r>
  <r>
    <s v="ORD200691"/>
    <s v="2024-11-24"/>
    <s v="C36137"/>
    <x v="5"/>
    <n v="3"/>
    <n v="239.08"/>
    <s v="396 Main St"/>
    <x v="4"/>
    <x v="0"/>
    <s v="TRK57376416"/>
    <n v="8"/>
    <s v="None"/>
    <x v="4"/>
    <n v="717.24"/>
  </r>
  <r>
    <s v="ORD200692"/>
    <s v="2023-01-23"/>
    <s v="C25534"/>
    <x v="6"/>
    <n v="5"/>
    <n v="196.84"/>
    <s v="319 Main St"/>
    <x v="2"/>
    <x v="3"/>
    <s v="TRK68347402"/>
    <n v="5"/>
    <s v="WINTER15"/>
    <x v="0"/>
    <n v="984.2"/>
  </r>
  <r>
    <s v="ORD200693"/>
    <s v="2025-03-12"/>
    <s v="C62070"/>
    <x v="0"/>
    <n v="1"/>
    <n v="176.58"/>
    <s v="674 Main St"/>
    <x v="0"/>
    <x v="2"/>
    <s v="TRK10267127"/>
    <n v="4"/>
    <s v="None"/>
    <x v="1"/>
    <n v="176.58"/>
  </r>
  <r>
    <s v="ORD200694"/>
    <s v="2023-10-02"/>
    <s v="C92049"/>
    <x v="4"/>
    <n v="4"/>
    <n v="666.52"/>
    <s v="619 Main St"/>
    <x v="4"/>
    <x v="0"/>
    <s v="TRK32287092"/>
    <n v="8"/>
    <s v="FREESHIP"/>
    <x v="2"/>
    <n v="2666.08"/>
  </r>
  <r>
    <s v="ORD200695"/>
    <s v="2024-11-23"/>
    <s v="C52604"/>
    <x v="4"/>
    <n v="5"/>
    <n v="101.3"/>
    <s v="553 Main St"/>
    <x v="1"/>
    <x v="0"/>
    <s v="TRK48839788"/>
    <n v="7"/>
    <s v="FREESHIP"/>
    <x v="2"/>
    <n v="506.5"/>
  </r>
  <r>
    <s v="ORD200696"/>
    <s v="2023-07-02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s v="2025-02-04"/>
    <s v="C27430"/>
    <x v="4"/>
    <n v="5"/>
    <n v="94.85"/>
    <s v="788 Main St"/>
    <x v="4"/>
    <x v="0"/>
    <s v="TRK45025840"/>
    <n v="6"/>
    <s v="WINTER15"/>
    <x v="2"/>
    <n v="474.25"/>
  </r>
  <r>
    <s v="ORD200698"/>
    <s v="2023-01-04"/>
    <s v="C44366"/>
    <x v="5"/>
    <n v="2"/>
    <n v="388.22"/>
    <s v="169 Main St"/>
    <x v="4"/>
    <x v="3"/>
    <s v="TRK48658394"/>
    <n v="2"/>
    <s v="WINTER15"/>
    <x v="0"/>
    <n v="776.44"/>
  </r>
  <r>
    <s v="ORD200699"/>
    <s v="2023-11-13"/>
    <s v="C36813"/>
    <x v="5"/>
    <n v="3"/>
    <n v="614.15"/>
    <s v="897 Main St"/>
    <x v="3"/>
    <x v="1"/>
    <s v="TRK84088900"/>
    <n v="3"/>
    <s v="None"/>
    <x v="3"/>
    <n v="1842.45"/>
  </r>
  <r>
    <s v="ORD200700"/>
    <s v="2024-09-25"/>
    <s v="C40201"/>
    <x v="5"/>
    <n v="2"/>
    <n v="92.91"/>
    <s v="555 Main St"/>
    <x v="4"/>
    <x v="2"/>
    <s v="TRK30198779"/>
    <n v="3"/>
    <s v="WINTER15"/>
    <x v="0"/>
    <n v="185.82"/>
  </r>
  <r>
    <s v="ORD200701"/>
    <s v="2024-06-23"/>
    <s v="C75456"/>
    <x v="0"/>
    <n v="3"/>
    <n v="92.22"/>
    <s v="115 Main St"/>
    <x v="2"/>
    <x v="3"/>
    <s v="TRK90519490"/>
    <n v="5"/>
    <s v="FREESHIP"/>
    <x v="2"/>
    <n v="276.66000000000003"/>
  </r>
  <r>
    <s v="ORD200702"/>
    <s v="2024-06-09"/>
    <s v="C33315"/>
    <x v="4"/>
    <n v="3"/>
    <n v="562.54999999999995"/>
    <s v="154 Main St"/>
    <x v="0"/>
    <x v="2"/>
    <s v="TRK43589369"/>
    <n v="6"/>
    <s v="None"/>
    <x v="2"/>
    <n v="1687.65"/>
  </r>
  <r>
    <s v="ORD200703"/>
    <s v="2023-03-22"/>
    <s v="C89336"/>
    <x v="6"/>
    <n v="1"/>
    <n v="92.79"/>
    <s v="799 Main St"/>
    <x v="4"/>
    <x v="4"/>
    <s v="TRK47665103"/>
    <n v="3"/>
    <s v="WINTER15"/>
    <x v="2"/>
    <n v="92.79"/>
  </r>
  <r>
    <s v="ORD200704"/>
    <s v="2023-06-03"/>
    <s v="C96034"/>
    <x v="6"/>
    <n v="4"/>
    <n v="30.27"/>
    <s v="819 Main St"/>
    <x v="1"/>
    <x v="3"/>
    <s v="TRK87261034"/>
    <n v="9"/>
    <s v="FREESHIP"/>
    <x v="4"/>
    <n v="121.08"/>
  </r>
  <r>
    <s v="ORD200705"/>
    <s v="2025-03-30"/>
    <s v="C50114"/>
    <x v="0"/>
    <n v="2"/>
    <n v="49.08"/>
    <s v="420 Main St"/>
    <x v="0"/>
    <x v="2"/>
    <s v="TRK20214786"/>
    <n v="7"/>
    <s v="FREESHIP"/>
    <x v="0"/>
    <n v="98.16"/>
  </r>
  <r>
    <s v="ORD200706"/>
    <s v="2025-03-02"/>
    <s v="C85330"/>
    <x v="6"/>
    <n v="5"/>
    <n v="228.09"/>
    <s v="969 Main St"/>
    <x v="3"/>
    <x v="2"/>
    <s v="TRK97693301"/>
    <n v="9"/>
    <s v="FREESHIP"/>
    <x v="3"/>
    <n v="1140.45"/>
  </r>
  <r>
    <s v="ORD200707"/>
    <s v="2024-11-01"/>
    <s v="C31761"/>
    <x v="3"/>
    <n v="4"/>
    <n v="650.04"/>
    <s v="989 Main St"/>
    <x v="3"/>
    <x v="1"/>
    <s v="TRK17628852"/>
    <n v="6"/>
    <s v="SAVE10"/>
    <x v="3"/>
    <n v="2600.16"/>
  </r>
  <r>
    <s v="ORD200708"/>
    <s v="2025-03-04"/>
    <s v="C25268"/>
    <x v="4"/>
    <n v="1"/>
    <n v="665.11"/>
    <s v="788 Main St"/>
    <x v="4"/>
    <x v="4"/>
    <s v="TRK20481215"/>
    <n v="3"/>
    <s v="FREESHIP"/>
    <x v="0"/>
    <n v="665.11"/>
  </r>
  <r>
    <s v="ORD200709"/>
    <s v="2024-12-07"/>
    <s v="C17132"/>
    <x v="6"/>
    <n v="1"/>
    <n v="386.03"/>
    <s v="855 Main St"/>
    <x v="1"/>
    <x v="4"/>
    <s v="TRK37504692"/>
    <n v="4"/>
    <s v="FREESHIP"/>
    <x v="4"/>
    <n v="386.03"/>
  </r>
  <r>
    <s v="ORD200710"/>
    <s v="2024-07-22"/>
    <s v="C48790"/>
    <x v="5"/>
    <n v="5"/>
    <n v="21.54"/>
    <s v="113 Main St"/>
    <x v="3"/>
    <x v="2"/>
    <s v="TRK19086608"/>
    <n v="10"/>
    <s v="None"/>
    <x v="4"/>
    <n v="107.7"/>
  </r>
  <r>
    <s v="ORD200711"/>
    <s v="2024-07-04"/>
    <s v="C61070"/>
    <x v="2"/>
    <n v="2"/>
    <n v="475.78"/>
    <s v="632 Main St"/>
    <x v="1"/>
    <x v="0"/>
    <s v="TRK90764894"/>
    <n v="2"/>
    <s v="WINTER15"/>
    <x v="4"/>
    <n v="951.56"/>
  </r>
  <r>
    <s v="ORD200712"/>
    <s v="2024-01-09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s v="2025-06-21"/>
    <s v="C65056"/>
    <x v="2"/>
    <n v="4"/>
    <n v="532.49"/>
    <s v="638 Main St"/>
    <x v="1"/>
    <x v="1"/>
    <s v="TRK31705278"/>
    <n v="6"/>
    <s v="SAVE10"/>
    <x v="3"/>
    <n v="2129.96"/>
  </r>
  <r>
    <s v="ORD200714"/>
    <s v="2023-04-21"/>
    <s v="C84888"/>
    <x v="5"/>
    <n v="1"/>
    <n v="51.73"/>
    <s v="278 Main St"/>
    <x v="0"/>
    <x v="4"/>
    <s v="TRK23612847"/>
    <n v="1"/>
    <s v="FREESHIP"/>
    <x v="3"/>
    <n v="51.73"/>
  </r>
  <r>
    <s v="ORD200715"/>
    <s v="2024-07-26"/>
    <s v="C68266"/>
    <x v="4"/>
    <n v="3"/>
    <n v="653.63"/>
    <s v="281 Main St"/>
    <x v="1"/>
    <x v="3"/>
    <s v="TRK96161062"/>
    <n v="7"/>
    <s v="FREESHIP"/>
    <x v="2"/>
    <n v="1960.89"/>
  </r>
  <r>
    <s v="ORD200716"/>
    <s v="2024-06-13"/>
    <s v="C84115"/>
    <x v="3"/>
    <n v="3"/>
    <n v="454.29"/>
    <s v="891 Main St"/>
    <x v="2"/>
    <x v="4"/>
    <s v="TRK25466842"/>
    <n v="4"/>
    <s v="WINTER15"/>
    <x v="4"/>
    <n v="1362.87"/>
  </r>
  <r>
    <s v="ORD200717"/>
    <s v="2023-10-16"/>
    <s v="C50087"/>
    <x v="3"/>
    <n v="3"/>
    <n v="122.11"/>
    <s v="707 Main St"/>
    <x v="1"/>
    <x v="3"/>
    <s v="TRK31143760"/>
    <n v="4"/>
    <s v="WINTER15"/>
    <x v="2"/>
    <n v="366.33"/>
  </r>
  <r>
    <s v="ORD200718"/>
    <s v="2023-04-08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s v="2024-01-21"/>
    <s v="C46920"/>
    <x v="5"/>
    <n v="2"/>
    <n v="681.06"/>
    <s v="703 Main St"/>
    <x v="0"/>
    <x v="0"/>
    <s v="TRK86403837"/>
    <n v="3"/>
    <s v="FREESHIP"/>
    <x v="3"/>
    <n v="1362.12"/>
  </r>
  <r>
    <s v="ORD200720"/>
    <s v="2023-09-21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s v="2024-03-18"/>
    <s v="C46557"/>
    <x v="6"/>
    <n v="2"/>
    <n v="118.59"/>
    <s v="890 Main St"/>
    <x v="2"/>
    <x v="3"/>
    <s v="TRK56110689"/>
    <n v="2"/>
    <s v="None"/>
    <x v="2"/>
    <n v="237.18"/>
  </r>
  <r>
    <s v="ORD200722"/>
    <s v="2024-11-15"/>
    <s v="C58156"/>
    <x v="4"/>
    <n v="1"/>
    <n v="95.1"/>
    <s v="516 Main St"/>
    <x v="3"/>
    <x v="4"/>
    <s v="TRK49719458"/>
    <n v="1"/>
    <s v="WINTER15"/>
    <x v="0"/>
    <n v="95.1"/>
  </r>
  <r>
    <s v="ORD200723"/>
    <s v="2023-12-09"/>
    <s v="C14455"/>
    <x v="6"/>
    <n v="3"/>
    <n v="54.95"/>
    <s v="385 Main St"/>
    <x v="4"/>
    <x v="2"/>
    <s v="TRK50933724"/>
    <n v="8"/>
    <s v="SAVE10"/>
    <x v="1"/>
    <n v="164.85"/>
  </r>
  <r>
    <s v="ORD200724"/>
    <s v="2024-10-18"/>
    <s v="C63150"/>
    <x v="4"/>
    <n v="3"/>
    <n v="136.97"/>
    <s v="326 Main St"/>
    <x v="2"/>
    <x v="2"/>
    <s v="TRK19348078"/>
    <n v="4"/>
    <s v="FREESHIP"/>
    <x v="1"/>
    <n v="410.91"/>
  </r>
  <r>
    <s v="ORD200725"/>
    <s v="2023-03-12"/>
    <s v="C95269"/>
    <x v="3"/>
    <n v="2"/>
    <n v="194.85"/>
    <s v="372 Main St"/>
    <x v="3"/>
    <x v="2"/>
    <s v="TRK45670926"/>
    <n v="5"/>
    <s v="None"/>
    <x v="1"/>
    <n v="389.7"/>
  </r>
  <r>
    <s v="ORD200726"/>
    <s v="2024-10-25"/>
    <s v="C18105"/>
    <x v="5"/>
    <n v="4"/>
    <n v="583.02"/>
    <s v="338 Main St"/>
    <x v="1"/>
    <x v="3"/>
    <s v="TRK94006117"/>
    <n v="4"/>
    <s v="FREESHIP"/>
    <x v="3"/>
    <n v="2332.08"/>
  </r>
  <r>
    <s v="ORD200727"/>
    <s v="2024-09-29"/>
    <s v="C29063"/>
    <x v="3"/>
    <n v="5"/>
    <n v="95.75"/>
    <s v="379 Main St"/>
    <x v="1"/>
    <x v="0"/>
    <s v="TRK92745947"/>
    <n v="8"/>
    <s v="SAVE10"/>
    <x v="0"/>
    <n v="478.75"/>
  </r>
  <r>
    <s v="ORD200728"/>
    <s v="2024-07-29"/>
    <s v="C10154"/>
    <x v="6"/>
    <n v="4"/>
    <n v="325.76"/>
    <s v="827 Main St"/>
    <x v="3"/>
    <x v="0"/>
    <s v="TRK79793300"/>
    <n v="8"/>
    <s v="WINTER15"/>
    <x v="2"/>
    <n v="1303.04"/>
  </r>
  <r>
    <s v="ORD200729"/>
    <s v="2023-09-08"/>
    <s v="C36997"/>
    <x v="1"/>
    <n v="4"/>
    <n v="186.41"/>
    <s v="819 Main St"/>
    <x v="3"/>
    <x v="4"/>
    <s v="TRK92794872"/>
    <n v="6"/>
    <s v="SAVE10"/>
    <x v="4"/>
    <n v="745.64"/>
  </r>
  <r>
    <s v="ORD200730"/>
    <s v="2025-02-22"/>
    <s v="C77357"/>
    <x v="1"/>
    <n v="1"/>
    <n v="474.6"/>
    <s v="407 Main St"/>
    <x v="0"/>
    <x v="3"/>
    <s v="TRK91943923"/>
    <n v="4"/>
    <s v="SAVE10"/>
    <x v="2"/>
    <n v="474.6"/>
  </r>
  <r>
    <s v="ORD200731"/>
    <s v="2024-06-07"/>
    <s v="C71310"/>
    <x v="4"/>
    <n v="5"/>
    <n v="584.46"/>
    <s v="308 Main St"/>
    <x v="2"/>
    <x v="2"/>
    <s v="TRK48292586"/>
    <n v="8"/>
    <s v="None"/>
    <x v="2"/>
    <n v="2922.3"/>
  </r>
  <r>
    <s v="ORD200732"/>
    <s v="2025-03-07"/>
    <s v="C80987"/>
    <x v="5"/>
    <n v="1"/>
    <n v="132.05000000000001"/>
    <s v="787 Main St"/>
    <x v="1"/>
    <x v="3"/>
    <s v="TRK42187776"/>
    <n v="2"/>
    <s v="None"/>
    <x v="4"/>
    <n v="132.05000000000001"/>
  </r>
  <r>
    <s v="ORD200733"/>
    <s v="2023-12-04"/>
    <s v="C90757"/>
    <x v="2"/>
    <n v="4"/>
    <n v="494.84"/>
    <s v="694 Main St"/>
    <x v="4"/>
    <x v="2"/>
    <s v="TRK87991608"/>
    <n v="8"/>
    <s v="SAVE10"/>
    <x v="2"/>
    <n v="1979.36"/>
  </r>
  <r>
    <s v="ORD200734"/>
    <s v="2024-01-23"/>
    <s v="C51898"/>
    <x v="4"/>
    <n v="4"/>
    <n v="224.61"/>
    <s v="630 Main St"/>
    <x v="2"/>
    <x v="2"/>
    <s v="TRK19767885"/>
    <n v="6"/>
    <s v="WINTER15"/>
    <x v="3"/>
    <n v="898.44"/>
  </r>
  <r>
    <s v="ORD200735"/>
    <s v="2024-06-28"/>
    <s v="C94508"/>
    <x v="0"/>
    <n v="4"/>
    <n v="44.07"/>
    <s v="359 Main St"/>
    <x v="0"/>
    <x v="4"/>
    <s v="TRK13443264"/>
    <n v="6"/>
    <s v="None"/>
    <x v="2"/>
    <n v="176.28"/>
  </r>
  <r>
    <s v="ORD200736"/>
    <s v="2024-02-09"/>
    <s v="C59441"/>
    <x v="0"/>
    <n v="5"/>
    <n v="418.53"/>
    <s v="696 Main St"/>
    <x v="2"/>
    <x v="4"/>
    <s v="TRK66186874"/>
    <n v="6"/>
    <s v="FREESHIP"/>
    <x v="4"/>
    <n v="2092.65"/>
  </r>
  <r>
    <s v="ORD200737"/>
    <s v="2024-01-03"/>
    <s v="C91029"/>
    <x v="1"/>
    <n v="4"/>
    <n v="532.87"/>
    <s v="972 Main St"/>
    <x v="4"/>
    <x v="4"/>
    <s v="TRK25501930"/>
    <n v="9"/>
    <s v="FREESHIP"/>
    <x v="0"/>
    <n v="2131.48"/>
  </r>
  <r>
    <s v="ORD200738"/>
    <s v="2025-06-04"/>
    <s v="C96261"/>
    <x v="1"/>
    <n v="2"/>
    <n v="485.37"/>
    <s v="264 Main St"/>
    <x v="2"/>
    <x v="0"/>
    <s v="TRK44998396"/>
    <n v="5"/>
    <s v="SAVE10"/>
    <x v="2"/>
    <n v="970.74"/>
  </r>
  <r>
    <s v="ORD200739"/>
    <s v="2024-06-13"/>
    <s v="C35123"/>
    <x v="1"/>
    <n v="4"/>
    <n v="386.73"/>
    <s v="513 Main St"/>
    <x v="4"/>
    <x v="3"/>
    <s v="TRK58979275"/>
    <n v="4"/>
    <s v="SAVE10"/>
    <x v="3"/>
    <n v="1546.92"/>
  </r>
  <r>
    <s v="ORD200740"/>
    <s v="2024-07-20"/>
    <s v="C10892"/>
    <x v="6"/>
    <n v="2"/>
    <n v="377.47"/>
    <s v="433 Main St"/>
    <x v="4"/>
    <x v="4"/>
    <s v="TRK76154554"/>
    <n v="7"/>
    <s v="None"/>
    <x v="4"/>
    <n v="754.94"/>
  </r>
  <r>
    <s v="ORD200741"/>
    <s v="2025-01-23"/>
    <s v="C99683"/>
    <x v="0"/>
    <n v="5"/>
    <n v="332.64"/>
    <s v="945 Main St"/>
    <x v="3"/>
    <x v="3"/>
    <s v="TRK87305883"/>
    <n v="10"/>
    <s v="None"/>
    <x v="1"/>
    <n v="1663.2"/>
  </r>
  <r>
    <s v="ORD200742"/>
    <s v="2024-11-30"/>
    <s v="C41974"/>
    <x v="5"/>
    <n v="3"/>
    <n v="699.93"/>
    <s v="726 Main St"/>
    <x v="4"/>
    <x v="2"/>
    <s v="TRK48051468"/>
    <n v="7"/>
    <s v="SAVE10"/>
    <x v="4"/>
    <n v="2099.79"/>
  </r>
  <r>
    <s v="ORD200743"/>
    <s v="2024-09-30"/>
    <s v="C23978"/>
    <x v="0"/>
    <n v="1"/>
    <n v="576.35"/>
    <s v="549 Main St"/>
    <x v="3"/>
    <x v="2"/>
    <s v="TRK87090813"/>
    <n v="1"/>
    <s v="WINTER15"/>
    <x v="0"/>
    <n v="576.35"/>
  </r>
  <r>
    <s v="ORD200744"/>
    <s v="2024-06-12"/>
    <s v="C10642"/>
    <x v="2"/>
    <n v="2"/>
    <n v="461.37"/>
    <s v="200 Main St"/>
    <x v="4"/>
    <x v="3"/>
    <s v="TRK98725693"/>
    <n v="5"/>
    <s v="SAVE10"/>
    <x v="4"/>
    <n v="922.74"/>
  </r>
  <r>
    <s v="ORD200745"/>
    <s v="2023-03-02"/>
    <s v="C73813"/>
    <x v="4"/>
    <n v="4"/>
    <n v="111.3"/>
    <s v="364 Main St"/>
    <x v="0"/>
    <x v="4"/>
    <s v="TRK89906749"/>
    <n v="7"/>
    <s v="FREESHIP"/>
    <x v="2"/>
    <n v="445.2"/>
  </r>
  <r>
    <s v="ORD200746"/>
    <s v="2025-02-24"/>
    <s v="C32183"/>
    <x v="6"/>
    <n v="3"/>
    <n v="661.89"/>
    <s v="551 Main St"/>
    <x v="1"/>
    <x v="1"/>
    <s v="TRK76287027"/>
    <n v="6"/>
    <s v="WINTER15"/>
    <x v="1"/>
    <n v="1985.67"/>
  </r>
  <r>
    <s v="ORD200747"/>
    <s v="2025-03-12"/>
    <s v="C54277"/>
    <x v="2"/>
    <n v="2"/>
    <n v="259.58"/>
    <s v="940 Main St"/>
    <x v="0"/>
    <x v="3"/>
    <s v="TRK26500181"/>
    <n v="7"/>
    <s v="FREESHIP"/>
    <x v="0"/>
    <n v="519.16"/>
  </r>
  <r>
    <s v="ORD200748"/>
    <s v="2024-07-15"/>
    <s v="C56553"/>
    <x v="2"/>
    <n v="3"/>
    <n v="70.81"/>
    <s v="249 Main St"/>
    <x v="2"/>
    <x v="0"/>
    <s v="TRK37667360"/>
    <n v="8"/>
    <s v="FREESHIP"/>
    <x v="1"/>
    <n v="212.43"/>
  </r>
  <r>
    <s v="ORD200749"/>
    <s v="2025-04-13"/>
    <s v="C17551"/>
    <x v="5"/>
    <n v="1"/>
    <n v="518.39"/>
    <s v="997 Main St"/>
    <x v="0"/>
    <x v="4"/>
    <s v="TRK88797170"/>
    <n v="4"/>
    <s v="FREESHIP"/>
    <x v="0"/>
    <n v="518.39"/>
  </r>
  <r>
    <s v="ORD200750"/>
    <s v="2023-01-14"/>
    <s v="C14737"/>
    <x v="2"/>
    <n v="4"/>
    <n v="145.41"/>
    <s v="637 Main St"/>
    <x v="2"/>
    <x v="2"/>
    <s v="TRK10295115"/>
    <n v="7"/>
    <s v="FREESHIP"/>
    <x v="2"/>
    <n v="581.64"/>
  </r>
  <r>
    <s v="ORD200751"/>
    <s v="2023-01-24"/>
    <s v="C35168"/>
    <x v="2"/>
    <n v="2"/>
    <n v="599.86"/>
    <s v="455 Main St"/>
    <x v="3"/>
    <x v="4"/>
    <s v="TRK76960854"/>
    <n v="7"/>
    <s v="FREESHIP"/>
    <x v="3"/>
    <n v="1199.72"/>
  </r>
  <r>
    <s v="ORD200752"/>
    <s v="2024-10-03"/>
    <s v="C82217"/>
    <x v="1"/>
    <n v="4"/>
    <n v="429.37"/>
    <s v="299 Main St"/>
    <x v="2"/>
    <x v="3"/>
    <s v="TRK33305694"/>
    <n v="8"/>
    <s v="FREESHIP"/>
    <x v="4"/>
    <n v="1717.48"/>
  </r>
  <r>
    <s v="ORD200753"/>
    <s v="2024-04-24"/>
    <s v="C42270"/>
    <x v="1"/>
    <n v="2"/>
    <n v="241.49"/>
    <s v="864 Main St"/>
    <x v="0"/>
    <x v="2"/>
    <s v="TRK72697796"/>
    <n v="7"/>
    <s v="FREESHIP"/>
    <x v="0"/>
    <n v="482.98"/>
  </r>
  <r>
    <s v="ORD200754"/>
    <s v="2025-05-31"/>
    <s v="C48846"/>
    <x v="4"/>
    <n v="2"/>
    <n v="452.05"/>
    <s v="983 Main St"/>
    <x v="2"/>
    <x v="2"/>
    <s v="TRK52804097"/>
    <n v="3"/>
    <s v="WINTER15"/>
    <x v="2"/>
    <n v="904.1"/>
  </r>
  <r>
    <s v="ORD200755"/>
    <s v="2023-06-13"/>
    <s v="C54160"/>
    <x v="6"/>
    <n v="3"/>
    <n v="336.71"/>
    <s v="658 Main St"/>
    <x v="2"/>
    <x v="4"/>
    <s v="TRK60515972"/>
    <n v="4"/>
    <s v="None"/>
    <x v="2"/>
    <n v="1010.13"/>
  </r>
  <r>
    <s v="ORD200756"/>
    <s v="2024-06-27"/>
    <s v="C14080"/>
    <x v="1"/>
    <n v="1"/>
    <n v="283.69"/>
    <s v="202 Main St"/>
    <x v="3"/>
    <x v="0"/>
    <s v="TRK93163682"/>
    <n v="6"/>
    <s v="None"/>
    <x v="4"/>
    <n v="283.69"/>
  </r>
  <r>
    <s v="ORD200757"/>
    <s v="2024-02-22"/>
    <s v="C81074"/>
    <x v="6"/>
    <n v="1"/>
    <n v="157.72"/>
    <s v="597 Main St"/>
    <x v="0"/>
    <x v="3"/>
    <s v="TRK91105190"/>
    <n v="2"/>
    <s v="FREESHIP"/>
    <x v="4"/>
    <n v="157.72"/>
  </r>
  <r>
    <s v="ORD200758"/>
    <s v="2023-03-26"/>
    <s v="C69021"/>
    <x v="2"/>
    <n v="3"/>
    <n v="624.84"/>
    <s v="917 Main St"/>
    <x v="2"/>
    <x v="1"/>
    <s v="TRK57148510"/>
    <n v="8"/>
    <s v="WINTER15"/>
    <x v="3"/>
    <n v="1874.52"/>
  </r>
  <r>
    <s v="ORD200759"/>
    <s v="2023-07-24"/>
    <s v="C96283"/>
    <x v="6"/>
    <n v="3"/>
    <n v="308.01"/>
    <s v="366 Main St"/>
    <x v="4"/>
    <x v="4"/>
    <s v="TRK91784124"/>
    <n v="3"/>
    <s v="FREESHIP"/>
    <x v="3"/>
    <n v="924.03"/>
  </r>
  <r>
    <s v="ORD200760"/>
    <s v="2025-02-18"/>
    <s v="C96636"/>
    <x v="6"/>
    <n v="1"/>
    <n v="39.56"/>
    <s v="283 Main St"/>
    <x v="0"/>
    <x v="1"/>
    <s v="TRK73324346"/>
    <n v="5"/>
    <s v="None"/>
    <x v="4"/>
    <n v="39.56"/>
  </r>
  <r>
    <s v="ORD200761"/>
    <s v="2023-06-02"/>
    <s v="C37235"/>
    <x v="6"/>
    <n v="4"/>
    <n v="37.76"/>
    <s v="217 Main St"/>
    <x v="0"/>
    <x v="3"/>
    <s v="TRK67789367"/>
    <n v="7"/>
    <s v="None"/>
    <x v="4"/>
    <n v="151.04"/>
  </r>
  <r>
    <s v="ORD200762"/>
    <s v="2024-09-17"/>
    <s v="C12444"/>
    <x v="1"/>
    <n v="3"/>
    <n v="76.959999999999994"/>
    <s v="611 Main St"/>
    <x v="4"/>
    <x v="2"/>
    <s v="TRK97621403"/>
    <n v="8"/>
    <s v="FREESHIP"/>
    <x v="2"/>
    <n v="230.88"/>
  </r>
  <r>
    <s v="ORD200763"/>
    <s v="2023-04-06"/>
    <s v="C79142"/>
    <x v="5"/>
    <n v="1"/>
    <n v="569.96"/>
    <s v="533 Main St"/>
    <x v="1"/>
    <x v="3"/>
    <s v="TRK30915955"/>
    <n v="4"/>
    <s v="FREESHIP"/>
    <x v="2"/>
    <n v="569.96"/>
  </r>
  <r>
    <s v="ORD200764"/>
    <s v="2024-03-1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s v="2023-10-06"/>
    <s v="C36150"/>
    <x v="5"/>
    <n v="2"/>
    <n v="534.91"/>
    <s v="281 Main St"/>
    <x v="0"/>
    <x v="2"/>
    <s v="TRK96249043"/>
    <n v="5"/>
    <s v="SAVE10"/>
    <x v="4"/>
    <n v="1069.82"/>
  </r>
  <r>
    <s v="ORD200766"/>
    <s v="2023-01-22"/>
    <s v="C91454"/>
    <x v="4"/>
    <n v="2"/>
    <n v="278.88"/>
    <s v="494 Main St"/>
    <x v="0"/>
    <x v="4"/>
    <s v="TRK99985340"/>
    <n v="3"/>
    <s v="FREESHIP"/>
    <x v="1"/>
    <n v="557.76"/>
  </r>
  <r>
    <s v="ORD200767"/>
    <s v="2025-04-18"/>
    <s v="C19368"/>
    <x v="2"/>
    <n v="2"/>
    <n v="323.22000000000003"/>
    <s v="517 Main St"/>
    <x v="2"/>
    <x v="3"/>
    <s v="TRK80436037"/>
    <n v="7"/>
    <s v="None"/>
    <x v="0"/>
    <n v="646.44000000000005"/>
  </r>
  <r>
    <s v="ORD200768"/>
    <s v="2023-09-04"/>
    <s v="C35987"/>
    <x v="2"/>
    <n v="5"/>
    <n v="653.46"/>
    <s v="165 Main St"/>
    <x v="4"/>
    <x v="1"/>
    <s v="TRK28918815"/>
    <n v="9"/>
    <s v="WINTER15"/>
    <x v="2"/>
    <n v="3267.3"/>
  </r>
  <r>
    <s v="ORD200769"/>
    <s v="2023-07-06"/>
    <s v="C13366"/>
    <x v="4"/>
    <n v="4"/>
    <n v="678.55"/>
    <s v="568 Main St"/>
    <x v="4"/>
    <x v="3"/>
    <s v="TRK98691410"/>
    <n v="5"/>
    <s v="None"/>
    <x v="2"/>
    <n v="2714.2"/>
  </r>
  <r>
    <s v="ORD200770"/>
    <s v="2024-02-11"/>
    <s v="C72166"/>
    <x v="6"/>
    <n v="1"/>
    <n v="314.38"/>
    <s v="227 Main St"/>
    <x v="1"/>
    <x v="2"/>
    <s v="TRK67733444"/>
    <n v="6"/>
    <s v="None"/>
    <x v="4"/>
    <n v="314.38"/>
  </r>
  <r>
    <s v="ORD200771"/>
    <s v="2024-06-12"/>
    <s v="C20357"/>
    <x v="1"/>
    <n v="3"/>
    <n v="692.44"/>
    <s v="272 Main St"/>
    <x v="0"/>
    <x v="1"/>
    <s v="TRK82236408"/>
    <n v="8"/>
    <s v="FREESHIP"/>
    <x v="4"/>
    <n v="2077.3200000000002"/>
  </r>
  <r>
    <s v="ORD200772"/>
    <s v="2024-07-28"/>
    <s v="C33802"/>
    <x v="0"/>
    <n v="1"/>
    <n v="604.87"/>
    <s v="461 Main St"/>
    <x v="1"/>
    <x v="3"/>
    <s v="TRK25799478"/>
    <n v="4"/>
    <s v="None"/>
    <x v="0"/>
    <n v="604.87"/>
  </r>
  <r>
    <s v="ORD200773"/>
    <s v="2025-06-28"/>
    <s v="C99205"/>
    <x v="1"/>
    <n v="2"/>
    <n v="512.33000000000004"/>
    <s v="415 Main St"/>
    <x v="4"/>
    <x v="1"/>
    <s v="TRK48904015"/>
    <n v="7"/>
    <s v="None"/>
    <x v="3"/>
    <n v="1024.6600000000001"/>
  </r>
  <r>
    <s v="ORD200774"/>
    <s v="2025-04-15"/>
    <s v="C29701"/>
    <x v="3"/>
    <n v="3"/>
    <n v="20.54"/>
    <s v="257 Main St"/>
    <x v="2"/>
    <x v="1"/>
    <s v="TRK42266846"/>
    <n v="3"/>
    <s v="FREESHIP"/>
    <x v="0"/>
    <n v="61.62"/>
  </r>
  <r>
    <s v="ORD200775"/>
    <s v="2023-03-04"/>
    <s v="C73941"/>
    <x v="1"/>
    <n v="2"/>
    <n v="625.22"/>
    <s v="569 Main St"/>
    <x v="1"/>
    <x v="1"/>
    <s v="TRK22051900"/>
    <n v="5"/>
    <s v="None"/>
    <x v="4"/>
    <n v="1250.44"/>
  </r>
  <r>
    <s v="ORD200776"/>
    <s v="2023-08-21"/>
    <s v="C69168"/>
    <x v="2"/>
    <n v="1"/>
    <n v="21.19"/>
    <s v="482 Main St"/>
    <x v="4"/>
    <x v="2"/>
    <s v="TRK10446197"/>
    <n v="5"/>
    <s v="WINTER15"/>
    <x v="4"/>
    <n v="21.19"/>
  </r>
  <r>
    <s v="ORD200777"/>
    <s v="2025-03-21"/>
    <s v="C66116"/>
    <x v="3"/>
    <n v="5"/>
    <n v="64.489999999999995"/>
    <s v="633 Main St"/>
    <x v="1"/>
    <x v="1"/>
    <s v="TRK41967983"/>
    <n v="7"/>
    <s v="None"/>
    <x v="3"/>
    <n v="322.45"/>
  </r>
  <r>
    <s v="ORD200778"/>
    <s v="2023-04-28"/>
    <s v="C85059"/>
    <x v="5"/>
    <n v="4"/>
    <n v="246.85"/>
    <s v="316 Main St"/>
    <x v="2"/>
    <x v="0"/>
    <s v="TRK56503740"/>
    <n v="8"/>
    <s v="WINTER15"/>
    <x v="4"/>
    <n v="987.4"/>
  </r>
  <r>
    <s v="ORD200779"/>
    <s v="2023-12-01"/>
    <s v="C18076"/>
    <x v="1"/>
    <n v="3"/>
    <n v="588.74"/>
    <s v="751 Main St"/>
    <x v="0"/>
    <x v="4"/>
    <s v="TRK26661705"/>
    <n v="8"/>
    <s v="FREESHIP"/>
    <x v="2"/>
    <n v="1766.22"/>
  </r>
  <r>
    <s v="ORD200780"/>
    <s v="2024-03-31"/>
    <s v="C41284"/>
    <x v="5"/>
    <n v="4"/>
    <n v="184.48"/>
    <s v="661 Main St"/>
    <x v="1"/>
    <x v="1"/>
    <s v="TRK73613128"/>
    <n v="4"/>
    <s v="WINTER15"/>
    <x v="4"/>
    <n v="737.92"/>
  </r>
  <r>
    <s v="ORD200781"/>
    <s v="2024-01-1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s v="2024-08-11"/>
    <s v="C58063"/>
    <x v="0"/>
    <n v="2"/>
    <n v="493.63"/>
    <s v="167 Main St"/>
    <x v="1"/>
    <x v="2"/>
    <s v="TRK50548869"/>
    <n v="6"/>
    <s v="SAVE10"/>
    <x v="1"/>
    <n v="987.26"/>
  </r>
  <r>
    <s v="ORD200783"/>
    <s v="2025-05-26"/>
    <s v="C19937"/>
    <x v="4"/>
    <n v="1"/>
    <n v="438.34"/>
    <s v="281 Main St"/>
    <x v="3"/>
    <x v="2"/>
    <s v="TRK46990083"/>
    <n v="5"/>
    <s v="FREESHIP"/>
    <x v="3"/>
    <n v="438.34"/>
  </r>
  <r>
    <s v="ORD200784"/>
    <s v="2025-05-16"/>
    <s v="C21191"/>
    <x v="5"/>
    <n v="1"/>
    <n v="325.81"/>
    <s v="232 Main St"/>
    <x v="2"/>
    <x v="4"/>
    <s v="TRK85771230"/>
    <n v="1"/>
    <s v="WINTER15"/>
    <x v="1"/>
    <n v="325.81"/>
  </r>
  <r>
    <s v="ORD200785"/>
    <s v="2023-07-29"/>
    <s v="C45862"/>
    <x v="3"/>
    <n v="1"/>
    <n v="176.1"/>
    <s v="342 Main St"/>
    <x v="2"/>
    <x v="4"/>
    <s v="TRK53089983"/>
    <n v="1"/>
    <s v="SAVE10"/>
    <x v="0"/>
    <n v="176.1"/>
  </r>
  <r>
    <s v="ORD200786"/>
    <s v="2023-08-23"/>
    <s v="C39130"/>
    <x v="3"/>
    <n v="5"/>
    <n v="45.31"/>
    <s v="774 Main St"/>
    <x v="1"/>
    <x v="1"/>
    <s v="TRK99583414"/>
    <n v="8"/>
    <s v="None"/>
    <x v="1"/>
    <n v="226.55"/>
  </r>
  <r>
    <s v="ORD200787"/>
    <s v="2024-03-17"/>
    <s v="C18167"/>
    <x v="6"/>
    <n v="4"/>
    <n v="221.96"/>
    <s v="193 Main St"/>
    <x v="4"/>
    <x v="3"/>
    <s v="TRK36841089"/>
    <n v="7"/>
    <s v="None"/>
    <x v="4"/>
    <n v="887.84"/>
  </r>
  <r>
    <s v="ORD200788"/>
    <s v="2023-11-02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s v="2023-08-17"/>
    <s v="C57276"/>
    <x v="2"/>
    <n v="5"/>
    <n v="691.28"/>
    <s v="183 Main St"/>
    <x v="1"/>
    <x v="3"/>
    <s v="TRK75899752"/>
    <n v="10"/>
    <s v="SAVE10"/>
    <x v="2"/>
    <n v="3456.4"/>
  </r>
  <r>
    <s v="ORD200790"/>
    <s v="2024-09-14"/>
    <s v="C38928"/>
    <x v="5"/>
    <n v="4"/>
    <n v="417.89"/>
    <s v="302 Main St"/>
    <x v="3"/>
    <x v="4"/>
    <s v="TRK96636009"/>
    <n v="4"/>
    <s v="None"/>
    <x v="4"/>
    <n v="1671.56"/>
  </r>
  <r>
    <s v="ORD200791"/>
    <s v="2024-01-13"/>
    <s v="C49710"/>
    <x v="3"/>
    <n v="4"/>
    <n v="409.28"/>
    <s v="956 Main St"/>
    <x v="4"/>
    <x v="4"/>
    <s v="TRK92591237"/>
    <n v="8"/>
    <s v="None"/>
    <x v="2"/>
    <n v="1637.12"/>
  </r>
  <r>
    <s v="ORD200792"/>
    <s v="2023-06-16"/>
    <s v="C41709"/>
    <x v="6"/>
    <n v="2"/>
    <n v="356.35"/>
    <s v="746 Main St"/>
    <x v="0"/>
    <x v="2"/>
    <s v="TRK90995294"/>
    <n v="6"/>
    <s v="WINTER15"/>
    <x v="3"/>
    <n v="712.7"/>
  </r>
  <r>
    <s v="ORD200793"/>
    <s v="2024-04-15"/>
    <s v="C91255"/>
    <x v="3"/>
    <n v="5"/>
    <n v="170.22"/>
    <s v="769 Main St"/>
    <x v="0"/>
    <x v="3"/>
    <s v="TRK69599961"/>
    <n v="8"/>
    <s v="None"/>
    <x v="1"/>
    <n v="851.1"/>
  </r>
  <r>
    <s v="ORD200794"/>
    <s v="2023-03-09"/>
    <s v="C76653"/>
    <x v="4"/>
    <n v="4"/>
    <n v="384.85"/>
    <s v="988 Main St"/>
    <x v="1"/>
    <x v="3"/>
    <s v="TRK77052196"/>
    <n v="9"/>
    <s v="FREESHIP"/>
    <x v="0"/>
    <n v="1539.4"/>
  </r>
  <r>
    <s v="ORD200795"/>
    <s v="2024-11-20"/>
    <s v="C95667"/>
    <x v="5"/>
    <n v="4"/>
    <n v="115.77"/>
    <s v="586 Main St"/>
    <x v="1"/>
    <x v="4"/>
    <s v="TRK41266666"/>
    <n v="7"/>
    <s v="SAVE10"/>
    <x v="0"/>
    <n v="463.08"/>
  </r>
  <r>
    <s v="ORD200796"/>
    <s v="2025-04-29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s v="2023-02-27"/>
    <s v="C36825"/>
    <x v="5"/>
    <n v="2"/>
    <n v="438.76"/>
    <s v="426 Main St"/>
    <x v="0"/>
    <x v="2"/>
    <s v="TRK72557318"/>
    <n v="2"/>
    <s v="None"/>
    <x v="3"/>
    <n v="877.52"/>
  </r>
  <r>
    <s v="ORD200798"/>
    <s v="2025-05-19"/>
    <s v="C20861"/>
    <x v="1"/>
    <n v="5"/>
    <n v="488.35"/>
    <s v="968 Main St"/>
    <x v="0"/>
    <x v="2"/>
    <s v="TRK89372013"/>
    <n v="9"/>
    <s v="FREESHIP"/>
    <x v="2"/>
    <n v="2441.75"/>
  </r>
  <r>
    <s v="ORD200799"/>
    <s v="2023-04-16"/>
    <s v="C26364"/>
    <x v="5"/>
    <n v="4"/>
    <n v="328.56"/>
    <s v="803 Main St"/>
    <x v="0"/>
    <x v="2"/>
    <s v="TRK78924436"/>
    <n v="4"/>
    <s v="FREESHIP"/>
    <x v="2"/>
    <n v="1314.24"/>
  </r>
  <r>
    <s v="ORD200800"/>
    <s v="2025-03-28"/>
    <s v="C34686"/>
    <x v="2"/>
    <n v="1"/>
    <n v="68.39"/>
    <s v="412 Main St"/>
    <x v="1"/>
    <x v="2"/>
    <s v="TRK99468332"/>
    <n v="3"/>
    <s v="WINTER15"/>
    <x v="3"/>
    <n v="68.39"/>
  </r>
  <r>
    <s v="ORD200801"/>
    <s v="2023-05-03"/>
    <s v="C97593"/>
    <x v="4"/>
    <n v="4"/>
    <n v="595.62"/>
    <s v="738 Main St"/>
    <x v="0"/>
    <x v="4"/>
    <s v="TRK58443593"/>
    <n v="8"/>
    <s v="FREESHIP"/>
    <x v="3"/>
    <n v="2382.48"/>
  </r>
  <r>
    <s v="ORD200802"/>
    <s v="2024-02-17"/>
    <s v="C84331"/>
    <x v="3"/>
    <n v="5"/>
    <n v="644.64"/>
    <s v="205 Main St"/>
    <x v="3"/>
    <x v="1"/>
    <s v="TRK34440714"/>
    <n v="6"/>
    <s v="FREESHIP"/>
    <x v="2"/>
    <n v="3223.2"/>
  </r>
  <r>
    <s v="ORD200803"/>
    <s v="2023-08-20"/>
    <s v="C88775"/>
    <x v="0"/>
    <n v="5"/>
    <n v="397.81"/>
    <s v="223 Main St"/>
    <x v="0"/>
    <x v="2"/>
    <s v="TRK45098068"/>
    <n v="5"/>
    <s v="SAVE10"/>
    <x v="1"/>
    <n v="1989.05"/>
  </r>
  <r>
    <s v="ORD200804"/>
    <s v="2024-01-01"/>
    <s v="C76362"/>
    <x v="3"/>
    <n v="3"/>
    <n v="236.5"/>
    <s v="916 Main St"/>
    <x v="1"/>
    <x v="3"/>
    <s v="TRK11868618"/>
    <n v="8"/>
    <s v="FREESHIP"/>
    <x v="2"/>
    <n v="709.5"/>
  </r>
  <r>
    <s v="ORD200805"/>
    <s v="2024-10-15"/>
    <s v="C59278"/>
    <x v="5"/>
    <n v="5"/>
    <n v="472.01"/>
    <s v="178 Main St"/>
    <x v="3"/>
    <x v="1"/>
    <s v="TRK14590037"/>
    <n v="10"/>
    <s v="SAVE10"/>
    <x v="2"/>
    <n v="2360.0500000000002"/>
  </r>
  <r>
    <s v="ORD200806"/>
    <s v="2023-09-01"/>
    <s v="C55819"/>
    <x v="3"/>
    <n v="5"/>
    <n v="253.75"/>
    <s v="740 Main St"/>
    <x v="1"/>
    <x v="4"/>
    <s v="TRK13775054"/>
    <n v="9"/>
    <s v="WINTER15"/>
    <x v="0"/>
    <n v="1268.75"/>
  </r>
  <r>
    <s v="ORD200807"/>
    <s v="2024-11-10"/>
    <s v="C82344"/>
    <x v="0"/>
    <n v="3"/>
    <n v="676.21"/>
    <s v="260 Main St"/>
    <x v="1"/>
    <x v="3"/>
    <s v="TRK70957219"/>
    <n v="5"/>
    <s v="SAVE10"/>
    <x v="4"/>
    <n v="2028.63"/>
  </r>
  <r>
    <s v="ORD200808"/>
    <s v="2024-02-13"/>
    <s v="C65565"/>
    <x v="6"/>
    <n v="3"/>
    <n v="134.05000000000001"/>
    <s v="192 Main St"/>
    <x v="2"/>
    <x v="0"/>
    <s v="TRK80383756"/>
    <n v="3"/>
    <s v="None"/>
    <x v="4"/>
    <n v="402.15"/>
  </r>
  <r>
    <s v="ORD200809"/>
    <s v="2024-04-09"/>
    <s v="C80416"/>
    <x v="6"/>
    <n v="5"/>
    <n v="217.43"/>
    <s v="752 Main St"/>
    <x v="0"/>
    <x v="0"/>
    <s v="TRK54385892"/>
    <n v="10"/>
    <s v="SAVE10"/>
    <x v="0"/>
    <n v="1087.1500000000001"/>
  </r>
  <r>
    <s v="ORD200810"/>
    <s v="2023-05-31"/>
    <s v="C23637"/>
    <x v="2"/>
    <n v="1"/>
    <n v="553.55999999999995"/>
    <s v="644 Main St"/>
    <x v="2"/>
    <x v="1"/>
    <s v="TRK16749863"/>
    <n v="5"/>
    <s v="None"/>
    <x v="1"/>
    <n v="553.55999999999995"/>
  </r>
  <r>
    <s v="ORD200811"/>
    <s v="2023-11-05"/>
    <s v="C24769"/>
    <x v="5"/>
    <n v="2"/>
    <n v="28.55"/>
    <s v="864 Main St"/>
    <x v="3"/>
    <x v="0"/>
    <s v="TRK44538305"/>
    <n v="7"/>
    <s v="SAVE10"/>
    <x v="2"/>
    <n v="57.1"/>
  </r>
  <r>
    <s v="ORD200812"/>
    <s v="2024-01-26"/>
    <s v="C81547"/>
    <x v="1"/>
    <n v="2"/>
    <n v="255.26"/>
    <s v="803 Main St"/>
    <x v="2"/>
    <x v="1"/>
    <s v="TRK88437123"/>
    <n v="6"/>
    <s v="FREESHIP"/>
    <x v="4"/>
    <n v="510.52"/>
  </r>
  <r>
    <s v="ORD200813"/>
    <s v="2025-03-1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s v="2024-12-11"/>
    <s v="C50732"/>
    <x v="3"/>
    <n v="4"/>
    <n v="147.51"/>
    <s v="979 Main St"/>
    <x v="0"/>
    <x v="4"/>
    <s v="TRK21082461"/>
    <n v="4"/>
    <s v="WINTER15"/>
    <x v="0"/>
    <n v="590.04"/>
  </r>
  <r>
    <s v="ORD200815"/>
    <s v="2024-08-04"/>
    <s v="C41320"/>
    <x v="4"/>
    <n v="3"/>
    <n v="569.84"/>
    <s v="920 Main St"/>
    <x v="3"/>
    <x v="1"/>
    <s v="TRK77539180"/>
    <n v="8"/>
    <s v="WINTER15"/>
    <x v="0"/>
    <n v="1709.52"/>
  </r>
  <r>
    <s v="ORD200816"/>
    <s v="2024-02-21"/>
    <s v="C55286"/>
    <x v="2"/>
    <n v="5"/>
    <n v="574.79"/>
    <s v="497 Main St"/>
    <x v="2"/>
    <x v="4"/>
    <s v="TRK39058734"/>
    <n v="8"/>
    <s v="WINTER15"/>
    <x v="1"/>
    <n v="2873.95"/>
  </r>
  <r>
    <s v="ORD200817"/>
    <s v="2023-10-05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s v="2023-03-02"/>
    <s v="C25580"/>
    <x v="1"/>
    <n v="4"/>
    <n v="390.84"/>
    <s v="860 Main St"/>
    <x v="2"/>
    <x v="1"/>
    <s v="TRK58781638"/>
    <n v="9"/>
    <s v="WINTER15"/>
    <x v="1"/>
    <n v="1563.36"/>
  </r>
  <r>
    <s v="ORD200819"/>
    <s v="2024-09-28"/>
    <s v="C66196"/>
    <x v="1"/>
    <n v="2"/>
    <n v="398.45"/>
    <s v="650 Main St"/>
    <x v="0"/>
    <x v="1"/>
    <s v="TRK38104650"/>
    <n v="7"/>
    <s v="SAVE10"/>
    <x v="4"/>
    <n v="796.9"/>
  </r>
  <r>
    <s v="ORD200820"/>
    <s v="2023-05-27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s v="2024-12-14"/>
    <s v="C40771"/>
    <x v="5"/>
    <n v="4"/>
    <n v="174.49"/>
    <s v="259 Main St"/>
    <x v="2"/>
    <x v="3"/>
    <s v="TRK56310345"/>
    <n v="5"/>
    <s v="SAVE10"/>
    <x v="3"/>
    <n v="697.96"/>
  </r>
  <r>
    <s v="ORD200822"/>
    <s v="2025-03-15"/>
    <s v="C20624"/>
    <x v="1"/>
    <n v="1"/>
    <n v="479.56"/>
    <s v="923 Main St"/>
    <x v="3"/>
    <x v="2"/>
    <s v="TRK45123395"/>
    <n v="1"/>
    <s v="SAVE10"/>
    <x v="4"/>
    <n v="479.56"/>
  </r>
  <r>
    <s v="ORD200823"/>
    <s v="2024-10-07"/>
    <s v="C27070"/>
    <x v="5"/>
    <n v="4"/>
    <n v="653.13"/>
    <s v="973 Main St"/>
    <x v="2"/>
    <x v="0"/>
    <s v="TRK83842481"/>
    <n v="8"/>
    <s v="WINTER15"/>
    <x v="0"/>
    <n v="2612.52"/>
  </r>
  <r>
    <s v="ORD200824"/>
    <s v="2023-08-29"/>
    <s v="C18826"/>
    <x v="0"/>
    <n v="3"/>
    <n v="481.1"/>
    <s v="664 Main St"/>
    <x v="2"/>
    <x v="2"/>
    <s v="TRK12530495"/>
    <n v="3"/>
    <s v="FREESHIP"/>
    <x v="3"/>
    <n v="1443.3"/>
  </r>
  <r>
    <s v="ORD200825"/>
    <s v="2025-03-26"/>
    <s v="C23899"/>
    <x v="6"/>
    <n v="5"/>
    <n v="271.69"/>
    <s v="543 Main St"/>
    <x v="1"/>
    <x v="2"/>
    <s v="TRK88914760"/>
    <n v="7"/>
    <s v="FREESHIP"/>
    <x v="0"/>
    <n v="1358.45"/>
  </r>
  <r>
    <s v="ORD200826"/>
    <s v="2025-03-08"/>
    <s v="C43249"/>
    <x v="4"/>
    <n v="3"/>
    <n v="463.81"/>
    <s v="283 Main St"/>
    <x v="1"/>
    <x v="2"/>
    <s v="TRK32469820"/>
    <n v="8"/>
    <s v="WINTER15"/>
    <x v="2"/>
    <n v="1391.43"/>
  </r>
  <r>
    <s v="ORD200827"/>
    <s v="2023-05-25"/>
    <s v="C95856"/>
    <x v="2"/>
    <n v="2"/>
    <n v="639.88"/>
    <s v="432 Main St"/>
    <x v="4"/>
    <x v="3"/>
    <s v="TRK58829625"/>
    <n v="5"/>
    <s v="WINTER15"/>
    <x v="0"/>
    <n v="1279.76"/>
  </r>
  <r>
    <s v="ORD200828"/>
    <s v="2024-07-24"/>
    <s v="C86266"/>
    <x v="3"/>
    <n v="4"/>
    <n v="404.58"/>
    <s v="510 Main St"/>
    <x v="4"/>
    <x v="0"/>
    <s v="TRK64576020"/>
    <n v="5"/>
    <s v="FREESHIP"/>
    <x v="0"/>
    <n v="1618.32"/>
  </r>
  <r>
    <s v="ORD200829"/>
    <s v="2023-02-05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s v="2024-12-11"/>
    <s v="C90310"/>
    <x v="2"/>
    <n v="4"/>
    <n v="190.64"/>
    <s v="853 Main St"/>
    <x v="4"/>
    <x v="3"/>
    <s v="TRK70028457"/>
    <n v="5"/>
    <s v="SAVE10"/>
    <x v="2"/>
    <n v="762.56"/>
  </r>
  <r>
    <s v="ORD200831"/>
    <s v="2023-12-18"/>
    <s v="C20124"/>
    <x v="4"/>
    <n v="2"/>
    <n v="88.73"/>
    <s v="140 Main St"/>
    <x v="1"/>
    <x v="4"/>
    <s v="TRK61346824"/>
    <n v="5"/>
    <s v="None"/>
    <x v="4"/>
    <n v="177.46"/>
  </r>
  <r>
    <s v="ORD200832"/>
    <s v="2024-03-12"/>
    <s v="C63372"/>
    <x v="3"/>
    <n v="5"/>
    <n v="485.71"/>
    <s v="903 Main St"/>
    <x v="1"/>
    <x v="4"/>
    <s v="TRK14661811"/>
    <n v="10"/>
    <s v="SAVE10"/>
    <x v="1"/>
    <n v="2428.5500000000002"/>
  </r>
  <r>
    <s v="ORD200833"/>
    <s v="2025-03-14"/>
    <s v="C90595"/>
    <x v="1"/>
    <n v="5"/>
    <n v="78.290000000000006"/>
    <s v="508 Main St"/>
    <x v="2"/>
    <x v="0"/>
    <s v="TRK96573803"/>
    <n v="5"/>
    <s v="WINTER15"/>
    <x v="1"/>
    <n v="391.45"/>
  </r>
  <r>
    <s v="ORD200834"/>
    <s v="2024-04-11"/>
    <s v="C98483"/>
    <x v="4"/>
    <n v="5"/>
    <n v="22.14"/>
    <s v="456 Main St"/>
    <x v="4"/>
    <x v="2"/>
    <s v="TRK22084320"/>
    <n v="10"/>
    <s v="None"/>
    <x v="0"/>
    <n v="110.7"/>
  </r>
  <r>
    <s v="ORD200835"/>
    <s v="2024-03-26"/>
    <s v="C16429"/>
    <x v="6"/>
    <n v="1"/>
    <n v="679.65"/>
    <s v="390 Main St"/>
    <x v="0"/>
    <x v="0"/>
    <s v="TRK73888013"/>
    <n v="6"/>
    <s v="FREESHIP"/>
    <x v="4"/>
    <n v="679.65"/>
  </r>
  <r>
    <s v="ORD200836"/>
    <s v="2023-02-02"/>
    <s v="C31810"/>
    <x v="1"/>
    <n v="1"/>
    <n v="178.44"/>
    <s v="328 Main St"/>
    <x v="2"/>
    <x v="1"/>
    <s v="TRK58725886"/>
    <n v="2"/>
    <s v="FREESHIP"/>
    <x v="4"/>
    <n v="178.44"/>
  </r>
  <r>
    <s v="ORD200837"/>
    <s v="2025-06-14"/>
    <s v="C88029"/>
    <x v="3"/>
    <n v="5"/>
    <n v="655.55"/>
    <s v="282 Main St"/>
    <x v="1"/>
    <x v="3"/>
    <s v="TRK59701278"/>
    <n v="5"/>
    <s v="None"/>
    <x v="2"/>
    <n v="3277.75"/>
  </r>
  <r>
    <s v="ORD200838"/>
    <s v="2024-04-11"/>
    <s v="C57798"/>
    <x v="6"/>
    <n v="4"/>
    <n v="577.08000000000004"/>
    <s v="384 Main St"/>
    <x v="1"/>
    <x v="4"/>
    <s v="TRK68797566"/>
    <n v="8"/>
    <s v="None"/>
    <x v="3"/>
    <n v="2308.3200000000002"/>
  </r>
  <r>
    <s v="ORD200839"/>
    <s v="2023-08-24"/>
    <s v="C82858"/>
    <x v="3"/>
    <n v="3"/>
    <n v="197.97"/>
    <s v="551 Main St"/>
    <x v="1"/>
    <x v="1"/>
    <s v="TRK90618490"/>
    <n v="5"/>
    <s v="None"/>
    <x v="4"/>
    <n v="593.91"/>
  </r>
  <r>
    <s v="ORD200840"/>
    <s v="2024-01-14"/>
    <s v="C60699"/>
    <x v="3"/>
    <n v="3"/>
    <n v="411.95"/>
    <s v="672 Main St"/>
    <x v="2"/>
    <x v="3"/>
    <s v="TRK88660574"/>
    <n v="7"/>
    <s v="FREESHIP"/>
    <x v="1"/>
    <n v="1235.8499999999999"/>
  </r>
  <r>
    <s v="ORD200841"/>
    <s v="2024-09-19"/>
    <s v="C94658"/>
    <x v="4"/>
    <n v="2"/>
    <n v="443.22"/>
    <s v="742 Main St"/>
    <x v="2"/>
    <x v="3"/>
    <s v="TRK51732528"/>
    <n v="5"/>
    <s v="None"/>
    <x v="3"/>
    <n v="886.44"/>
  </r>
  <r>
    <s v="ORD200842"/>
    <s v="2025-05-07"/>
    <s v="C78305"/>
    <x v="5"/>
    <n v="3"/>
    <n v="364.14"/>
    <s v="396 Main St"/>
    <x v="1"/>
    <x v="4"/>
    <s v="TRK88312618"/>
    <n v="7"/>
    <s v="WINTER15"/>
    <x v="1"/>
    <n v="1092.42"/>
  </r>
  <r>
    <s v="ORD200843"/>
    <s v="2025-05-13"/>
    <s v="C43538"/>
    <x v="6"/>
    <n v="3"/>
    <n v="430.06"/>
    <s v="534 Main St"/>
    <x v="3"/>
    <x v="1"/>
    <s v="TRK20961563"/>
    <n v="8"/>
    <s v="FREESHIP"/>
    <x v="0"/>
    <n v="1290.18"/>
  </r>
  <r>
    <s v="ORD200844"/>
    <s v="2024-12-04"/>
    <s v="C47486"/>
    <x v="3"/>
    <n v="1"/>
    <n v="320.92"/>
    <s v="883 Main St"/>
    <x v="1"/>
    <x v="2"/>
    <s v="TRK75984759"/>
    <n v="5"/>
    <s v="FREESHIP"/>
    <x v="3"/>
    <n v="320.92"/>
  </r>
  <r>
    <s v="ORD200845"/>
    <s v="2023-10-08"/>
    <s v="C24212"/>
    <x v="1"/>
    <n v="3"/>
    <n v="107.36"/>
    <s v="808 Main St"/>
    <x v="3"/>
    <x v="3"/>
    <s v="TRK68894675"/>
    <n v="5"/>
    <s v="FREESHIP"/>
    <x v="4"/>
    <n v="322.08"/>
  </r>
  <r>
    <s v="ORD200846"/>
    <s v="2024-07-04"/>
    <s v="C24765"/>
    <x v="6"/>
    <n v="2"/>
    <n v="359.86"/>
    <s v="646 Main St"/>
    <x v="0"/>
    <x v="1"/>
    <s v="TRK43977698"/>
    <n v="4"/>
    <s v="None"/>
    <x v="1"/>
    <n v="719.72"/>
  </r>
  <r>
    <s v="ORD200847"/>
    <s v="2024-11-18"/>
    <s v="C48176"/>
    <x v="4"/>
    <n v="4"/>
    <n v="434.23"/>
    <s v="670 Main St"/>
    <x v="1"/>
    <x v="0"/>
    <s v="TRK90560300"/>
    <n v="8"/>
    <s v="FREESHIP"/>
    <x v="2"/>
    <n v="1736.92"/>
  </r>
  <r>
    <s v="ORD200848"/>
    <s v="2023-01-01"/>
    <s v="C54675"/>
    <x v="3"/>
    <n v="2"/>
    <n v="645.85"/>
    <s v="634 Main St"/>
    <x v="1"/>
    <x v="0"/>
    <s v="TRK18049633"/>
    <n v="5"/>
    <s v="None"/>
    <x v="1"/>
    <n v="1291.7"/>
  </r>
  <r>
    <s v="ORD200849"/>
    <s v="2025-06-09"/>
    <s v="C16675"/>
    <x v="4"/>
    <n v="4"/>
    <n v="214.35"/>
    <s v="664 Main St"/>
    <x v="0"/>
    <x v="1"/>
    <s v="TRK12756945"/>
    <n v="7"/>
    <s v="WINTER15"/>
    <x v="1"/>
    <n v="857.4"/>
  </r>
  <r>
    <s v="ORD200850"/>
    <s v="2025-04-27"/>
    <s v="C38557"/>
    <x v="0"/>
    <n v="3"/>
    <n v="638.5"/>
    <s v="890 Main St"/>
    <x v="0"/>
    <x v="1"/>
    <s v="TRK14832238"/>
    <n v="4"/>
    <s v="FREESHIP"/>
    <x v="0"/>
    <n v="1915.5"/>
  </r>
  <r>
    <s v="ORD200851"/>
    <s v="2023-12-12"/>
    <s v="C80183"/>
    <x v="5"/>
    <n v="1"/>
    <n v="365.57"/>
    <s v="146 Main St"/>
    <x v="1"/>
    <x v="1"/>
    <s v="TRK20814598"/>
    <n v="5"/>
    <s v="SAVE10"/>
    <x v="2"/>
    <n v="365.57"/>
  </r>
  <r>
    <s v="ORD200852"/>
    <s v="2024-10-24"/>
    <s v="C39530"/>
    <x v="6"/>
    <n v="3"/>
    <n v="568.04999999999995"/>
    <s v="618 Main St"/>
    <x v="3"/>
    <x v="4"/>
    <s v="TRK69000497"/>
    <n v="6"/>
    <s v="SAVE10"/>
    <x v="4"/>
    <n v="1704.15"/>
  </r>
  <r>
    <s v="ORD200853"/>
    <s v="2023-10-16"/>
    <s v="C10002"/>
    <x v="4"/>
    <n v="3"/>
    <n v="490.01"/>
    <s v="894 Main St"/>
    <x v="4"/>
    <x v="2"/>
    <s v="TRK94641152"/>
    <n v="4"/>
    <s v="SAVE10"/>
    <x v="3"/>
    <n v="1470.03"/>
  </r>
  <r>
    <s v="ORD200854"/>
    <s v="2025-06-13"/>
    <s v="C56938"/>
    <x v="5"/>
    <n v="3"/>
    <n v="372.6"/>
    <s v="356 Main St"/>
    <x v="2"/>
    <x v="3"/>
    <s v="TRK67735987"/>
    <n v="7"/>
    <s v="WINTER15"/>
    <x v="1"/>
    <n v="1117.8"/>
  </r>
  <r>
    <s v="ORD200855"/>
    <s v="2023-05-25"/>
    <s v="C41331"/>
    <x v="0"/>
    <n v="5"/>
    <n v="240.61"/>
    <s v="785 Main St"/>
    <x v="2"/>
    <x v="0"/>
    <s v="TRK94198179"/>
    <n v="10"/>
    <s v="FREESHIP"/>
    <x v="2"/>
    <n v="1203.05"/>
  </r>
  <r>
    <s v="ORD200856"/>
    <s v="2024-06-03"/>
    <s v="C94698"/>
    <x v="1"/>
    <n v="1"/>
    <n v="586.62"/>
    <s v="871 Main St"/>
    <x v="0"/>
    <x v="0"/>
    <s v="TRK95768773"/>
    <n v="5"/>
    <s v="None"/>
    <x v="3"/>
    <n v="586.62"/>
  </r>
  <r>
    <s v="ORD200857"/>
    <s v="2024-03-10"/>
    <s v="C56506"/>
    <x v="1"/>
    <n v="3"/>
    <n v="257.83999999999997"/>
    <s v="185 Main St"/>
    <x v="1"/>
    <x v="3"/>
    <s v="TRK86808324"/>
    <n v="4"/>
    <s v="None"/>
    <x v="0"/>
    <n v="773.52"/>
  </r>
  <r>
    <s v="ORD200858"/>
    <s v="2023-08-20"/>
    <s v="C22167"/>
    <x v="2"/>
    <n v="5"/>
    <n v="435.66"/>
    <s v="891 Main St"/>
    <x v="1"/>
    <x v="4"/>
    <s v="TRK70269748"/>
    <n v="9"/>
    <s v="None"/>
    <x v="3"/>
    <n v="2178.3000000000002"/>
  </r>
  <r>
    <s v="ORD200859"/>
    <s v="2024-08-28"/>
    <s v="C11127"/>
    <x v="3"/>
    <n v="5"/>
    <n v="261.33"/>
    <s v="154 Main St"/>
    <x v="2"/>
    <x v="2"/>
    <s v="TRK73285507"/>
    <n v="5"/>
    <s v="SAVE10"/>
    <x v="1"/>
    <n v="1306.6500000000001"/>
  </r>
  <r>
    <s v="ORD200860"/>
    <s v="2024-01-23"/>
    <s v="C69542"/>
    <x v="4"/>
    <n v="1"/>
    <n v="422.54"/>
    <s v="876 Main St"/>
    <x v="4"/>
    <x v="3"/>
    <s v="TRK20746505"/>
    <n v="1"/>
    <s v="SAVE10"/>
    <x v="4"/>
    <n v="422.54"/>
  </r>
  <r>
    <s v="ORD200861"/>
    <s v="2023-03-19"/>
    <s v="C93276"/>
    <x v="6"/>
    <n v="5"/>
    <n v="330.45"/>
    <s v="230 Main St"/>
    <x v="3"/>
    <x v="0"/>
    <s v="TRK44165913"/>
    <n v="10"/>
    <s v="FREESHIP"/>
    <x v="4"/>
    <n v="1652.25"/>
  </r>
  <r>
    <s v="ORD200862"/>
    <s v="2023-12-02"/>
    <s v="C37969"/>
    <x v="6"/>
    <n v="3"/>
    <n v="120.82"/>
    <s v="799 Main St"/>
    <x v="2"/>
    <x v="0"/>
    <s v="TRK69852386"/>
    <n v="5"/>
    <s v="SAVE10"/>
    <x v="1"/>
    <n v="362.46"/>
  </r>
  <r>
    <s v="ORD200863"/>
    <s v="2024-05-20"/>
    <s v="C98276"/>
    <x v="1"/>
    <n v="1"/>
    <n v="14.06"/>
    <s v="471 Main St"/>
    <x v="2"/>
    <x v="4"/>
    <s v="TRK74207282"/>
    <n v="5"/>
    <s v="SAVE10"/>
    <x v="1"/>
    <n v="14.06"/>
  </r>
  <r>
    <s v="ORD200864"/>
    <s v="2023-05-03"/>
    <s v="C14240"/>
    <x v="6"/>
    <n v="1"/>
    <n v="491.11"/>
    <s v="592 Main St"/>
    <x v="2"/>
    <x v="3"/>
    <s v="TRK58095246"/>
    <n v="4"/>
    <s v="SAVE10"/>
    <x v="3"/>
    <n v="491.11"/>
  </r>
  <r>
    <s v="ORD200865"/>
    <s v="2023-04-30"/>
    <s v="C72241"/>
    <x v="0"/>
    <n v="4"/>
    <n v="677.37"/>
    <s v="156 Main St"/>
    <x v="4"/>
    <x v="4"/>
    <s v="TRK76270481"/>
    <n v="8"/>
    <s v="SAVE10"/>
    <x v="4"/>
    <n v="2709.48"/>
  </r>
  <r>
    <s v="ORD200866"/>
    <s v="2024-07-26"/>
    <s v="C39664"/>
    <x v="6"/>
    <n v="5"/>
    <n v="189.25"/>
    <s v="693 Main St"/>
    <x v="0"/>
    <x v="1"/>
    <s v="TRK39917741"/>
    <n v="10"/>
    <s v="WINTER15"/>
    <x v="2"/>
    <n v="946.25"/>
  </r>
  <r>
    <s v="ORD200867"/>
    <s v="2024-05-26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s v="2024-06-29"/>
    <s v="C70452"/>
    <x v="0"/>
    <n v="4"/>
    <n v="316.32"/>
    <s v="309 Main St"/>
    <x v="0"/>
    <x v="3"/>
    <s v="TRK42985882"/>
    <n v="7"/>
    <s v="None"/>
    <x v="3"/>
    <n v="1265.28"/>
  </r>
  <r>
    <s v="ORD200869"/>
    <s v="2024-03-1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s v="2025-06-01"/>
    <s v="C78725"/>
    <x v="1"/>
    <n v="4"/>
    <n v="470.09"/>
    <s v="541 Main St"/>
    <x v="0"/>
    <x v="3"/>
    <s v="TRK72001139"/>
    <n v="4"/>
    <s v="FREESHIP"/>
    <x v="4"/>
    <n v="1880.36"/>
  </r>
  <r>
    <s v="ORD200871"/>
    <s v="2024-05-16"/>
    <s v="C93768"/>
    <x v="2"/>
    <n v="3"/>
    <n v="324.3"/>
    <s v="720 Main St"/>
    <x v="0"/>
    <x v="4"/>
    <s v="TRK22024707"/>
    <n v="8"/>
    <s v="FREESHIP"/>
    <x v="2"/>
    <n v="972.9"/>
  </r>
  <r>
    <s v="ORD200872"/>
    <s v="2023-07-10"/>
    <s v="C59169"/>
    <x v="3"/>
    <n v="4"/>
    <n v="629.34"/>
    <s v="172 Main St"/>
    <x v="4"/>
    <x v="0"/>
    <s v="TRK90883858"/>
    <n v="7"/>
    <s v="None"/>
    <x v="2"/>
    <n v="2517.36"/>
  </r>
  <r>
    <s v="ORD200873"/>
    <s v="2024-05-12"/>
    <s v="C53488"/>
    <x v="6"/>
    <n v="3"/>
    <n v="136.84"/>
    <s v="448 Main St"/>
    <x v="4"/>
    <x v="3"/>
    <s v="TRK27365050"/>
    <n v="3"/>
    <s v="SAVE10"/>
    <x v="3"/>
    <n v="410.52"/>
  </r>
  <r>
    <s v="ORD200874"/>
    <s v="2023-10-31"/>
    <s v="C92180"/>
    <x v="3"/>
    <n v="2"/>
    <n v="488.9"/>
    <s v="632 Main St"/>
    <x v="4"/>
    <x v="3"/>
    <s v="TRK93315929"/>
    <n v="7"/>
    <s v="FREESHIP"/>
    <x v="3"/>
    <n v="977.8"/>
  </r>
  <r>
    <s v="ORD200875"/>
    <s v="2023-08-03"/>
    <s v="C25918"/>
    <x v="5"/>
    <n v="5"/>
    <n v="133.38999999999999"/>
    <s v="203 Main St"/>
    <x v="2"/>
    <x v="3"/>
    <s v="TRK66473392"/>
    <n v="6"/>
    <s v="FREESHIP"/>
    <x v="1"/>
    <n v="666.95"/>
  </r>
  <r>
    <s v="ORD200876"/>
    <s v="2024-06-09"/>
    <s v="C90363"/>
    <x v="3"/>
    <n v="5"/>
    <n v="608.91"/>
    <s v="200 Main St"/>
    <x v="3"/>
    <x v="4"/>
    <s v="TRK21534173"/>
    <n v="6"/>
    <s v="SAVE10"/>
    <x v="4"/>
    <n v="3044.55"/>
  </r>
  <r>
    <s v="ORD200877"/>
    <s v="2024-07-25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s v="2023-06-01"/>
    <s v="C73873"/>
    <x v="6"/>
    <n v="2"/>
    <n v="330.69"/>
    <s v="393 Main St"/>
    <x v="1"/>
    <x v="1"/>
    <s v="TRK56423132"/>
    <n v="5"/>
    <s v="SAVE10"/>
    <x v="4"/>
    <n v="661.38"/>
  </r>
  <r>
    <s v="ORD200879"/>
    <s v="2025-04-08"/>
    <s v="C56622"/>
    <x v="1"/>
    <n v="2"/>
    <n v="547.66999999999996"/>
    <s v="932 Main St"/>
    <x v="3"/>
    <x v="0"/>
    <s v="TRK86373987"/>
    <n v="3"/>
    <s v="None"/>
    <x v="0"/>
    <n v="1095.3399999999999"/>
  </r>
  <r>
    <s v="ORD200880"/>
    <s v="2025-03-12"/>
    <s v="C85074"/>
    <x v="5"/>
    <n v="4"/>
    <n v="233.7"/>
    <s v="506 Main St"/>
    <x v="1"/>
    <x v="0"/>
    <s v="TRK63133878"/>
    <n v="8"/>
    <s v="SAVE10"/>
    <x v="3"/>
    <n v="934.8"/>
  </r>
  <r>
    <s v="ORD200881"/>
    <s v="2023-01-03"/>
    <s v="C59579"/>
    <x v="2"/>
    <n v="2"/>
    <n v="448.85"/>
    <s v="386 Main St"/>
    <x v="2"/>
    <x v="4"/>
    <s v="TRK48000034"/>
    <n v="6"/>
    <s v="None"/>
    <x v="0"/>
    <n v="897.7"/>
  </r>
  <r>
    <s v="ORD200882"/>
    <s v="2025-06-28"/>
    <s v="C43335"/>
    <x v="1"/>
    <n v="2"/>
    <n v="274.12"/>
    <s v="533 Main St"/>
    <x v="4"/>
    <x v="3"/>
    <s v="TRK91848650"/>
    <n v="6"/>
    <s v="FREESHIP"/>
    <x v="1"/>
    <n v="548.24"/>
  </r>
  <r>
    <s v="ORD200883"/>
    <s v="2025-05-13"/>
    <s v="C43595"/>
    <x v="4"/>
    <n v="5"/>
    <n v="561.48"/>
    <s v="451 Main St"/>
    <x v="1"/>
    <x v="3"/>
    <s v="TRK25317348"/>
    <n v="9"/>
    <s v="FREESHIP"/>
    <x v="3"/>
    <n v="2807.4"/>
  </r>
  <r>
    <s v="ORD200884"/>
    <s v="2024-05-15"/>
    <s v="C71471"/>
    <x v="3"/>
    <n v="1"/>
    <n v="595.54"/>
    <s v="817 Main St"/>
    <x v="3"/>
    <x v="0"/>
    <s v="TRK52137079"/>
    <n v="4"/>
    <s v="None"/>
    <x v="0"/>
    <n v="595.54"/>
  </r>
  <r>
    <s v="ORD200885"/>
    <s v="2024-04-07"/>
    <s v="C61090"/>
    <x v="5"/>
    <n v="4"/>
    <n v="515.59"/>
    <s v="387 Main St"/>
    <x v="2"/>
    <x v="0"/>
    <s v="TRK36388962"/>
    <n v="7"/>
    <s v="FREESHIP"/>
    <x v="4"/>
    <n v="2062.36"/>
  </r>
  <r>
    <s v="ORD200886"/>
    <s v="2023-10-25"/>
    <s v="C29620"/>
    <x v="1"/>
    <n v="1"/>
    <n v="460.13"/>
    <s v="792 Main St"/>
    <x v="2"/>
    <x v="2"/>
    <s v="TRK22046456"/>
    <n v="1"/>
    <s v="None"/>
    <x v="4"/>
    <n v="460.13"/>
  </r>
  <r>
    <s v="ORD200887"/>
    <s v="2024-12-19"/>
    <s v="C67932"/>
    <x v="3"/>
    <n v="3"/>
    <n v="171.66"/>
    <s v="857 Main St"/>
    <x v="0"/>
    <x v="3"/>
    <s v="TRK88547534"/>
    <n v="7"/>
    <s v="None"/>
    <x v="4"/>
    <n v="514.98"/>
  </r>
  <r>
    <s v="ORD200888"/>
    <s v="2024-07-23"/>
    <s v="C14427"/>
    <x v="5"/>
    <n v="2"/>
    <n v="266.95"/>
    <s v="833 Main St"/>
    <x v="2"/>
    <x v="4"/>
    <s v="TRK58024529"/>
    <n v="3"/>
    <s v="None"/>
    <x v="0"/>
    <n v="533.9"/>
  </r>
  <r>
    <s v="ORD200889"/>
    <s v="2024-10-27"/>
    <s v="C36725"/>
    <x v="0"/>
    <n v="5"/>
    <n v="650.72"/>
    <s v="350 Main St"/>
    <x v="2"/>
    <x v="1"/>
    <s v="TRK16808790"/>
    <n v="8"/>
    <s v="WINTER15"/>
    <x v="2"/>
    <n v="3253.6"/>
  </r>
  <r>
    <s v="ORD200890"/>
    <s v="2023-08-11"/>
    <s v="C51921"/>
    <x v="5"/>
    <n v="3"/>
    <n v="439.53"/>
    <s v="943 Main St"/>
    <x v="0"/>
    <x v="4"/>
    <s v="TRK85741716"/>
    <n v="5"/>
    <s v="None"/>
    <x v="4"/>
    <n v="1318.59"/>
  </r>
  <r>
    <s v="ORD200891"/>
    <s v="2023-11-11"/>
    <s v="C36534"/>
    <x v="0"/>
    <n v="3"/>
    <n v="654.54"/>
    <s v="918 Main St"/>
    <x v="4"/>
    <x v="2"/>
    <s v="TRK38952138"/>
    <n v="7"/>
    <s v="SAVE10"/>
    <x v="1"/>
    <n v="1963.62"/>
  </r>
  <r>
    <s v="ORD200892"/>
    <s v="2024-06-04"/>
    <s v="C72043"/>
    <x v="6"/>
    <n v="1"/>
    <n v="394.53"/>
    <s v="480 Main St"/>
    <x v="4"/>
    <x v="0"/>
    <s v="TRK40896408"/>
    <n v="2"/>
    <s v="FREESHIP"/>
    <x v="1"/>
    <n v="394.53"/>
  </r>
  <r>
    <s v="ORD200893"/>
    <s v="2023-03-21"/>
    <s v="C99533"/>
    <x v="0"/>
    <n v="1"/>
    <n v="678.01"/>
    <s v="696 Main St"/>
    <x v="4"/>
    <x v="4"/>
    <s v="TRK55701253"/>
    <n v="4"/>
    <s v="FREESHIP"/>
    <x v="1"/>
    <n v="678.01"/>
  </r>
  <r>
    <s v="ORD200894"/>
    <s v="2023-05-23"/>
    <s v="C90852"/>
    <x v="2"/>
    <n v="3"/>
    <n v="575.01"/>
    <s v="852 Main St"/>
    <x v="1"/>
    <x v="1"/>
    <s v="TRK37551831"/>
    <n v="8"/>
    <s v="WINTER15"/>
    <x v="0"/>
    <n v="1725.03"/>
  </r>
  <r>
    <s v="ORD200895"/>
    <s v="2023-11-09"/>
    <s v="C81882"/>
    <x v="3"/>
    <n v="3"/>
    <n v="154.63999999999999"/>
    <s v="832 Main St"/>
    <x v="0"/>
    <x v="4"/>
    <s v="TRK62371264"/>
    <n v="6"/>
    <s v="WINTER15"/>
    <x v="3"/>
    <n v="463.92"/>
  </r>
  <r>
    <s v="ORD200896"/>
    <s v="2024-10-18"/>
    <s v="C85466"/>
    <x v="6"/>
    <n v="3"/>
    <n v="147.29"/>
    <s v="102 Main St"/>
    <x v="3"/>
    <x v="0"/>
    <s v="TRK66764177"/>
    <n v="3"/>
    <s v="FREESHIP"/>
    <x v="4"/>
    <n v="441.87"/>
  </r>
  <r>
    <s v="ORD200897"/>
    <s v="2024-09-03"/>
    <s v="C87995"/>
    <x v="5"/>
    <n v="4"/>
    <n v="481.48"/>
    <s v="358 Main St"/>
    <x v="3"/>
    <x v="3"/>
    <s v="TRK38730545"/>
    <n v="5"/>
    <s v="SAVE10"/>
    <x v="0"/>
    <n v="1925.92"/>
  </r>
  <r>
    <s v="ORD200898"/>
    <s v="2025-03-05"/>
    <s v="C44619"/>
    <x v="0"/>
    <n v="3"/>
    <n v="158.37"/>
    <s v="742 Main St"/>
    <x v="4"/>
    <x v="0"/>
    <s v="TRK66662528"/>
    <n v="6"/>
    <s v="None"/>
    <x v="1"/>
    <n v="475.11"/>
  </r>
  <r>
    <s v="ORD200899"/>
    <s v="2025-04-23"/>
    <s v="C99904"/>
    <x v="4"/>
    <n v="2"/>
    <n v="323.37"/>
    <s v="552 Main St"/>
    <x v="1"/>
    <x v="4"/>
    <s v="TRK83843411"/>
    <n v="3"/>
    <s v="SAVE10"/>
    <x v="0"/>
    <n v="646.74"/>
  </r>
  <r>
    <s v="ORD200900"/>
    <s v="2025-02-07"/>
    <s v="C52342"/>
    <x v="5"/>
    <n v="5"/>
    <n v="73.83"/>
    <s v="991 Main St"/>
    <x v="0"/>
    <x v="4"/>
    <s v="TRK67342586"/>
    <n v="9"/>
    <s v="None"/>
    <x v="0"/>
    <n v="369.15"/>
  </r>
  <r>
    <s v="ORD200901"/>
    <s v="2024-04-28"/>
    <s v="C44277"/>
    <x v="2"/>
    <n v="1"/>
    <n v="458.63"/>
    <s v="839 Main St"/>
    <x v="0"/>
    <x v="2"/>
    <s v="TRK79321479"/>
    <n v="4"/>
    <s v="WINTER15"/>
    <x v="1"/>
    <n v="458.63"/>
  </r>
  <r>
    <s v="ORD200902"/>
    <s v="2024-07-13"/>
    <s v="C61162"/>
    <x v="0"/>
    <n v="4"/>
    <n v="180.25"/>
    <s v="813 Main St"/>
    <x v="0"/>
    <x v="1"/>
    <s v="TRK76712124"/>
    <n v="7"/>
    <s v="None"/>
    <x v="3"/>
    <n v="721"/>
  </r>
  <r>
    <s v="ORD200903"/>
    <s v="2023-05-17"/>
    <s v="C80868"/>
    <x v="0"/>
    <n v="3"/>
    <n v="473.49"/>
    <s v="205 Main St"/>
    <x v="2"/>
    <x v="4"/>
    <s v="TRK56186636"/>
    <n v="7"/>
    <s v="None"/>
    <x v="2"/>
    <n v="1420.47"/>
  </r>
  <r>
    <s v="ORD200904"/>
    <s v="2025-02-05"/>
    <s v="C16693"/>
    <x v="0"/>
    <n v="4"/>
    <n v="237.43"/>
    <s v="262 Main St"/>
    <x v="4"/>
    <x v="1"/>
    <s v="TRK41146508"/>
    <n v="8"/>
    <s v="WINTER15"/>
    <x v="1"/>
    <n v="949.72"/>
  </r>
  <r>
    <s v="ORD200905"/>
    <s v="2023-11-23"/>
    <s v="C67818"/>
    <x v="5"/>
    <n v="1"/>
    <n v="442.39"/>
    <s v="101 Main St"/>
    <x v="3"/>
    <x v="4"/>
    <s v="TRK81978113"/>
    <n v="6"/>
    <s v="FREESHIP"/>
    <x v="3"/>
    <n v="442.39"/>
  </r>
  <r>
    <s v="ORD200906"/>
    <s v="2024-09-03"/>
    <s v="C49938"/>
    <x v="0"/>
    <n v="1"/>
    <n v="62.12"/>
    <s v="141 Main St"/>
    <x v="4"/>
    <x v="2"/>
    <s v="TRK80175572"/>
    <n v="2"/>
    <s v="None"/>
    <x v="2"/>
    <n v="62.12"/>
  </r>
  <r>
    <s v="ORD200907"/>
    <s v="2024-08-04"/>
    <s v="C90898"/>
    <x v="6"/>
    <n v="5"/>
    <n v="298.39"/>
    <s v="583 Main St"/>
    <x v="3"/>
    <x v="1"/>
    <s v="TRK52935170"/>
    <n v="7"/>
    <s v="WINTER15"/>
    <x v="1"/>
    <n v="1491.95"/>
  </r>
  <r>
    <s v="ORD200908"/>
    <s v="2025-05-06"/>
    <s v="C35117"/>
    <x v="6"/>
    <n v="2"/>
    <n v="697.93"/>
    <s v="332 Main St"/>
    <x v="2"/>
    <x v="1"/>
    <s v="TRK27155709"/>
    <n v="2"/>
    <s v="SAVE10"/>
    <x v="4"/>
    <n v="1395.86"/>
  </r>
  <r>
    <s v="ORD200909"/>
    <s v="2024-05-27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s v="2024-05-31"/>
    <s v="C36174"/>
    <x v="4"/>
    <n v="3"/>
    <n v="308.98"/>
    <s v="348 Main St"/>
    <x v="4"/>
    <x v="3"/>
    <s v="TRK26397548"/>
    <n v="3"/>
    <s v="SAVE10"/>
    <x v="0"/>
    <n v="926.94"/>
  </r>
  <r>
    <s v="ORD200911"/>
    <s v="2024-08-13"/>
    <s v="C80872"/>
    <x v="6"/>
    <n v="5"/>
    <n v="396.86"/>
    <s v="593 Main St"/>
    <x v="4"/>
    <x v="1"/>
    <s v="TRK43967487"/>
    <n v="9"/>
    <s v="SAVE10"/>
    <x v="0"/>
    <n v="1984.3"/>
  </r>
  <r>
    <s v="ORD200912"/>
    <s v="2024-01-22"/>
    <s v="C67604"/>
    <x v="6"/>
    <n v="2"/>
    <n v="139.69"/>
    <s v="318 Main St"/>
    <x v="1"/>
    <x v="2"/>
    <s v="TRK85545920"/>
    <n v="7"/>
    <s v="FREESHIP"/>
    <x v="2"/>
    <n v="279.38"/>
  </r>
  <r>
    <s v="ORD200913"/>
    <s v="2023-02-16"/>
    <s v="C45599"/>
    <x v="4"/>
    <n v="5"/>
    <n v="475.95"/>
    <s v="505 Main St"/>
    <x v="2"/>
    <x v="2"/>
    <s v="TRK62277685"/>
    <n v="8"/>
    <s v="WINTER15"/>
    <x v="3"/>
    <n v="2379.75"/>
  </r>
  <r>
    <s v="ORD200914"/>
    <s v="2025-02-10"/>
    <s v="C70352"/>
    <x v="6"/>
    <n v="1"/>
    <n v="626.6"/>
    <s v="955 Main St"/>
    <x v="3"/>
    <x v="2"/>
    <s v="TRK51589589"/>
    <n v="4"/>
    <s v="WINTER15"/>
    <x v="3"/>
    <n v="626.6"/>
  </r>
  <r>
    <s v="ORD200915"/>
    <s v="2024-02-16"/>
    <s v="C20643"/>
    <x v="5"/>
    <n v="4"/>
    <n v="502.99"/>
    <s v="939 Main St"/>
    <x v="0"/>
    <x v="0"/>
    <s v="TRK30736692"/>
    <n v="4"/>
    <s v="WINTER15"/>
    <x v="1"/>
    <n v="2011.96"/>
  </r>
  <r>
    <s v="ORD200916"/>
    <s v="2024-06-21"/>
    <s v="C35669"/>
    <x v="4"/>
    <n v="5"/>
    <n v="578.83000000000004"/>
    <s v="165 Main St"/>
    <x v="4"/>
    <x v="2"/>
    <s v="TRK13928455"/>
    <n v="6"/>
    <s v="None"/>
    <x v="1"/>
    <n v="2894.15"/>
  </r>
  <r>
    <s v="ORD200917"/>
    <s v="2025-01-20"/>
    <s v="C65524"/>
    <x v="5"/>
    <n v="5"/>
    <n v="383.82"/>
    <s v="836 Main St"/>
    <x v="2"/>
    <x v="2"/>
    <s v="TRK19315310"/>
    <n v="7"/>
    <s v="FREESHIP"/>
    <x v="4"/>
    <n v="1919.1"/>
  </r>
  <r>
    <s v="ORD200918"/>
    <s v="2025-06-24"/>
    <s v="C74359"/>
    <x v="5"/>
    <n v="5"/>
    <n v="368.25"/>
    <s v="706 Main St"/>
    <x v="1"/>
    <x v="3"/>
    <s v="TRK18250450"/>
    <n v="5"/>
    <s v="None"/>
    <x v="0"/>
    <n v="1841.25"/>
  </r>
  <r>
    <s v="ORD200919"/>
    <s v="2025-02-07"/>
    <s v="C92086"/>
    <x v="4"/>
    <n v="2"/>
    <n v="374.6"/>
    <s v="187 Main St"/>
    <x v="1"/>
    <x v="0"/>
    <s v="TRK23357668"/>
    <n v="3"/>
    <s v="FREESHIP"/>
    <x v="1"/>
    <n v="749.2"/>
  </r>
  <r>
    <s v="ORD200920"/>
    <s v="2025-03-12"/>
    <s v="C26137"/>
    <x v="2"/>
    <n v="2"/>
    <n v="428.09"/>
    <s v="978 Main St"/>
    <x v="2"/>
    <x v="2"/>
    <s v="TRK98110407"/>
    <n v="6"/>
    <s v="None"/>
    <x v="0"/>
    <n v="856.18"/>
  </r>
  <r>
    <s v="ORD200921"/>
    <s v="2023-07-24"/>
    <s v="C90573"/>
    <x v="2"/>
    <n v="1"/>
    <n v="438.93"/>
    <s v="144 Main St"/>
    <x v="3"/>
    <x v="1"/>
    <s v="TRK90075720"/>
    <n v="3"/>
    <s v="SAVE10"/>
    <x v="1"/>
    <n v="438.93"/>
  </r>
  <r>
    <s v="ORD200922"/>
    <s v="2024-06-17"/>
    <s v="C81857"/>
    <x v="6"/>
    <n v="2"/>
    <n v="563.82000000000005"/>
    <s v="487 Main St"/>
    <x v="2"/>
    <x v="4"/>
    <s v="TRK79737732"/>
    <n v="3"/>
    <s v="None"/>
    <x v="0"/>
    <n v="1127.6400000000001"/>
  </r>
  <r>
    <s v="ORD200923"/>
    <s v="2023-02-1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s v="2025-03-22"/>
    <s v="C81319"/>
    <x v="4"/>
    <n v="5"/>
    <n v="268.43"/>
    <s v="991 Main St"/>
    <x v="4"/>
    <x v="2"/>
    <s v="TRK55330558"/>
    <n v="5"/>
    <s v="SAVE10"/>
    <x v="2"/>
    <n v="1342.15"/>
  </r>
  <r>
    <s v="ORD200925"/>
    <s v="2024-12-20"/>
    <s v="C78500"/>
    <x v="0"/>
    <n v="5"/>
    <n v="502.47"/>
    <s v="304 Main St"/>
    <x v="1"/>
    <x v="0"/>
    <s v="TRK97460884"/>
    <n v="10"/>
    <s v="WINTER15"/>
    <x v="2"/>
    <n v="2512.35"/>
  </r>
  <r>
    <s v="ORD200926"/>
    <s v="2024-03-20"/>
    <s v="C67533"/>
    <x v="6"/>
    <n v="1"/>
    <n v="26.95"/>
    <s v="672 Main St"/>
    <x v="4"/>
    <x v="3"/>
    <s v="TRK14566395"/>
    <n v="1"/>
    <s v="WINTER15"/>
    <x v="2"/>
    <n v="26.95"/>
  </r>
  <r>
    <s v="ORD200927"/>
    <s v="2023-02-14"/>
    <s v="C35566"/>
    <x v="5"/>
    <n v="4"/>
    <n v="64.69"/>
    <s v="638 Main St"/>
    <x v="0"/>
    <x v="0"/>
    <s v="TRK10003020"/>
    <n v="7"/>
    <s v="WINTER15"/>
    <x v="4"/>
    <n v="258.76"/>
  </r>
  <r>
    <s v="ORD200928"/>
    <s v="2024-05-09"/>
    <s v="C77166"/>
    <x v="5"/>
    <n v="3"/>
    <n v="247.11"/>
    <s v="821 Main St"/>
    <x v="0"/>
    <x v="2"/>
    <s v="TRK18896595"/>
    <n v="3"/>
    <s v="WINTER15"/>
    <x v="1"/>
    <n v="741.33"/>
  </r>
  <r>
    <s v="ORD200929"/>
    <s v="2024-10-16"/>
    <s v="C67936"/>
    <x v="2"/>
    <n v="2"/>
    <n v="536.25"/>
    <s v="553 Main St"/>
    <x v="0"/>
    <x v="4"/>
    <s v="TRK71803414"/>
    <n v="3"/>
    <s v="None"/>
    <x v="2"/>
    <n v="1072.5"/>
  </r>
  <r>
    <s v="ORD200930"/>
    <s v="2024-12-16"/>
    <s v="C59554"/>
    <x v="1"/>
    <n v="2"/>
    <n v="456.04"/>
    <s v="382 Main St"/>
    <x v="0"/>
    <x v="2"/>
    <s v="TRK28182447"/>
    <n v="4"/>
    <s v="FREESHIP"/>
    <x v="2"/>
    <n v="912.08"/>
  </r>
  <r>
    <s v="ORD200931"/>
    <s v="2024-01-01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s v="2023-03-26"/>
    <s v="C26118"/>
    <x v="5"/>
    <n v="2"/>
    <n v="72.39"/>
    <s v="168 Main St"/>
    <x v="1"/>
    <x v="3"/>
    <s v="TRK15334251"/>
    <n v="7"/>
    <s v="WINTER15"/>
    <x v="0"/>
    <n v="144.78"/>
  </r>
  <r>
    <s v="ORD200933"/>
    <s v="2023-01-26"/>
    <s v="C59685"/>
    <x v="0"/>
    <n v="2"/>
    <n v="394.16"/>
    <s v="255 Main St"/>
    <x v="1"/>
    <x v="0"/>
    <s v="TRK43718093"/>
    <n v="2"/>
    <s v="None"/>
    <x v="1"/>
    <n v="788.32"/>
  </r>
  <r>
    <s v="ORD200934"/>
    <s v="2025-06-01"/>
    <s v="C40304"/>
    <x v="5"/>
    <n v="4"/>
    <n v="119.84"/>
    <s v="692 Main St"/>
    <x v="3"/>
    <x v="0"/>
    <s v="TRK85790948"/>
    <n v="8"/>
    <s v="FREESHIP"/>
    <x v="1"/>
    <n v="479.36"/>
  </r>
  <r>
    <s v="ORD200935"/>
    <s v="2023-11-24"/>
    <s v="C39593"/>
    <x v="1"/>
    <n v="3"/>
    <n v="692.71"/>
    <s v="398 Main St"/>
    <x v="2"/>
    <x v="3"/>
    <s v="TRK62405253"/>
    <n v="3"/>
    <s v="FREESHIP"/>
    <x v="0"/>
    <n v="2078.13"/>
  </r>
  <r>
    <s v="ORD200936"/>
    <s v="2024-01-12"/>
    <s v="C50612"/>
    <x v="3"/>
    <n v="4"/>
    <n v="56.66"/>
    <s v="737 Main St"/>
    <x v="1"/>
    <x v="3"/>
    <s v="TRK44140968"/>
    <n v="4"/>
    <s v="SAVE10"/>
    <x v="0"/>
    <n v="226.64"/>
  </r>
  <r>
    <s v="ORD200937"/>
    <s v="2024-01-16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s v="2023-07-12"/>
    <s v="C39017"/>
    <x v="3"/>
    <n v="3"/>
    <n v="331.46"/>
    <s v="696 Main St"/>
    <x v="2"/>
    <x v="1"/>
    <s v="TRK91155214"/>
    <n v="6"/>
    <s v="WINTER15"/>
    <x v="1"/>
    <n v="994.38"/>
  </r>
  <r>
    <s v="ORD200939"/>
    <s v="2025-04-16"/>
    <s v="C48510"/>
    <x v="5"/>
    <n v="2"/>
    <n v="521.4"/>
    <s v="212 Main St"/>
    <x v="4"/>
    <x v="3"/>
    <s v="TRK53152886"/>
    <n v="7"/>
    <s v="SAVE10"/>
    <x v="0"/>
    <n v="1042.8"/>
  </r>
  <r>
    <s v="ORD200940"/>
    <s v="2023-03-27"/>
    <s v="C74003"/>
    <x v="4"/>
    <n v="4"/>
    <n v="305.32"/>
    <s v="679 Main St"/>
    <x v="1"/>
    <x v="1"/>
    <s v="TRK91525779"/>
    <n v="4"/>
    <s v="SAVE10"/>
    <x v="4"/>
    <n v="1221.28"/>
  </r>
  <r>
    <s v="ORD200941"/>
    <s v="2023-07-17"/>
    <s v="C91155"/>
    <x v="4"/>
    <n v="5"/>
    <n v="111.7"/>
    <s v="599 Main St"/>
    <x v="2"/>
    <x v="1"/>
    <s v="TRK82162952"/>
    <n v="9"/>
    <s v="FREESHIP"/>
    <x v="2"/>
    <n v="558.5"/>
  </r>
  <r>
    <s v="ORD200942"/>
    <s v="2023-09-29"/>
    <s v="C17591"/>
    <x v="2"/>
    <n v="1"/>
    <n v="479.76"/>
    <s v="882 Main St"/>
    <x v="2"/>
    <x v="4"/>
    <s v="TRK56070470"/>
    <n v="1"/>
    <s v="None"/>
    <x v="2"/>
    <n v="479.76"/>
  </r>
  <r>
    <s v="ORD200943"/>
    <s v="2023-12-27"/>
    <s v="C43330"/>
    <x v="0"/>
    <n v="3"/>
    <n v="193.49"/>
    <s v="355 Main St"/>
    <x v="3"/>
    <x v="2"/>
    <s v="TRK71594838"/>
    <n v="6"/>
    <s v="FREESHIP"/>
    <x v="3"/>
    <n v="580.47"/>
  </r>
  <r>
    <s v="ORD200944"/>
    <s v="2024-12-16"/>
    <s v="C32687"/>
    <x v="5"/>
    <n v="2"/>
    <n v="426.22"/>
    <s v="448 Main St"/>
    <x v="1"/>
    <x v="3"/>
    <s v="TRK98284560"/>
    <n v="7"/>
    <s v="WINTER15"/>
    <x v="4"/>
    <n v="852.44"/>
  </r>
  <r>
    <s v="ORD200945"/>
    <s v="2023-08-20"/>
    <s v="C79722"/>
    <x v="2"/>
    <n v="5"/>
    <n v="276.44"/>
    <s v="619 Main St"/>
    <x v="3"/>
    <x v="0"/>
    <s v="TRK29976438"/>
    <n v="10"/>
    <s v="FREESHIP"/>
    <x v="1"/>
    <n v="1382.2"/>
  </r>
  <r>
    <s v="ORD200946"/>
    <s v="2024-05-04"/>
    <s v="C65021"/>
    <x v="1"/>
    <n v="2"/>
    <n v="404.96"/>
    <s v="546 Main St"/>
    <x v="4"/>
    <x v="0"/>
    <s v="TRK20626179"/>
    <n v="4"/>
    <s v="SAVE10"/>
    <x v="2"/>
    <n v="809.92"/>
  </r>
  <r>
    <s v="ORD200947"/>
    <s v="2023-09-07"/>
    <s v="C85520"/>
    <x v="1"/>
    <n v="4"/>
    <n v="465.66"/>
    <s v="119 Main St"/>
    <x v="1"/>
    <x v="2"/>
    <s v="TRK65994177"/>
    <n v="9"/>
    <s v="FREESHIP"/>
    <x v="2"/>
    <n v="1862.64"/>
  </r>
  <r>
    <s v="ORD200948"/>
    <s v="2024-06-21"/>
    <s v="C94569"/>
    <x v="1"/>
    <n v="2"/>
    <n v="594.07000000000005"/>
    <s v="739 Main St"/>
    <x v="3"/>
    <x v="1"/>
    <s v="TRK79269291"/>
    <n v="2"/>
    <s v="None"/>
    <x v="4"/>
    <n v="1188.1400000000001"/>
  </r>
  <r>
    <s v="ORD200949"/>
    <s v="2023-11-09"/>
    <s v="C55778"/>
    <x v="6"/>
    <n v="5"/>
    <n v="110.38"/>
    <s v="319 Main St"/>
    <x v="4"/>
    <x v="4"/>
    <s v="TRK93797108"/>
    <n v="10"/>
    <s v="None"/>
    <x v="1"/>
    <n v="551.9"/>
  </r>
  <r>
    <s v="ORD200950"/>
    <s v="2024-05-31"/>
    <s v="C19722"/>
    <x v="5"/>
    <n v="1"/>
    <n v="596.24"/>
    <s v="891 Main St"/>
    <x v="2"/>
    <x v="2"/>
    <s v="TRK78094361"/>
    <n v="4"/>
    <s v="FREESHIP"/>
    <x v="0"/>
    <n v="596.24"/>
  </r>
  <r>
    <s v="ORD200951"/>
    <s v="2024-07-22"/>
    <s v="C74928"/>
    <x v="4"/>
    <n v="2"/>
    <n v="306.24"/>
    <s v="589 Main St"/>
    <x v="1"/>
    <x v="2"/>
    <s v="TRK39845914"/>
    <n v="4"/>
    <s v="FREESHIP"/>
    <x v="2"/>
    <n v="612.48"/>
  </r>
  <r>
    <s v="ORD200952"/>
    <s v="2025-02-27"/>
    <s v="C49111"/>
    <x v="0"/>
    <n v="3"/>
    <n v="503.39"/>
    <s v="225 Main St"/>
    <x v="1"/>
    <x v="4"/>
    <s v="TRK45303393"/>
    <n v="5"/>
    <s v="None"/>
    <x v="3"/>
    <n v="1510.17"/>
  </r>
  <r>
    <s v="ORD200953"/>
    <s v="2023-02-06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s v="2024-10-22"/>
    <s v="C68609"/>
    <x v="3"/>
    <n v="3"/>
    <n v="443.44"/>
    <s v="240 Main St"/>
    <x v="3"/>
    <x v="0"/>
    <s v="TRK58273778"/>
    <n v="3"/>
    <s v="FREESHIP"/>
    <x v="4"/>
    <n v="1330.32"/>
  </r>
  <r>
    <s v="ORD200955"/>
    <s v="2023-01-23"/>
    <s v="C82068"/>
    <x v="3"/>
    <n v="1"/>
    <n v="408.13"/>
    <s v="164 Main St"/>
    <x v="3"/>
    <x v="0"/>
    <s v="TRK25779180"/>
    <n v="3"/>
    <s v="WINTER15"/>
    <x v="0"/>
    <n v="408.13"/>
  </r>
  <r>
    <s v="ORD200956"/>
    <s v="2024-04-11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s v="2023-01-12"/>
    <s v="C73575"/>
    <x v="0"/>
    <n v="5"/>
    <n v="643.89"/>
    <s v="851 Main St"/>
    <x v="4"/>
    <x v="2"/>
    <s v="TRK23387612"/>
    <n v="8"/>
    <s v="WINTER15"/>
    <x v="3"/>
    <n v="3219.45"/>
  </r>
  <r>
    <s v="ORD200958"/>
    <s v="2023-05-13"/>
    <s v="C82685"/>
    <x v="6"/>
    <n v="3"/>
    <n v="158.66"/>
    <s v="537 Main St"/>
    <x v="3"/>
    <x v="3"/>
    <s v="TRK70184320"/>
    <n v="7"/>
    <s v="WINTER15"/>
    <x v="2"/>
    <n v="475.98"/>
  </r>
  <r>
    <s v="ORD200959"/>
    <s v="2024-04-13"/>
    <s v="C73996"/>
    <x v="2"/>
    <n v="2"/>
    <n v="143.82"/>
    <s v="856 Main St"/>
    <x v="2"/>
    <x v="2"/>
    <s v="TRK74579570"/>
    <n v="6"/>
    <s v="SAVE10"/>
    <x v="0"/>
    <n v="287.64"/>
  </r>
  <r>
    <s v="ORD200960"/>
    <s v="2023-12-11"/>
    <s v="C87687"/>
    <x v="5"/>
    <n v="3"/>
    <n v="379.07"/>
    <s v="312 Main St"/>
    <x v="3"/>
    <x v="4"/>
    <s v="TRK60383805"/>
    <n v="3"/>
    <s v="WINTER15"/>
    <x v="4"/>
    <n v="1137.21"/>
  </r>
  <r>
    <s v="ORD200961"/>
    <s v="2024-11-11"/>
    <s v="C55464"/>
    <x v="1"/>
    <n v="1"/>
    <n v="601.36"/>
    <s v="532 Main St"/>
    <x v="1"/>
    <x v="0"/>
    <s v="TRK81178598"/>
    <n v="1"/>
    <s v="None"/>
    <x v="3"/>
    <n v="601.36"/>
  </r>
  <r>
    <s v="ORD200962"/>
    <s v="2024-09-06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s v="2024-03-11"/>
    <s v="C88075"/>
    <x v="3"/>
    <n v="5"/>
    <n v="530.34"/>
    <s v="970 Main St"/>
    <x v="1"/>
    <x v="0"/>
    <s v="TRK42832976"/>
    <n v="9"/>
    <s v="FREESHIP"/>
    <x v="4"/>
    <n v="2651.7"/>
  </r>
  <r>
    <s v="ORD200964"/>
    <s v="2023-08-20"/>
    <s v="C18583"/>
    <x v="1"/>
    <n v="5"/>
    <n v="364.42"/>
    <s v="778 Main St"/>
    <x v="2"/>
    <x v="1"/>
    <s v="TRK43084595"/>
    <n v="10"/>
    <s v="SAVE10"/>
    <x v="1"/>
    <n v="1822.1"/>
  </r>
  <r>
    <s v="ORD200965"/>
    <s v="2025-06-18"/>
    <s v="C70412"/>
    <x v="5"/>
    <n v="4"/>
    <n v="578.28"/>
    <s v="791 Main St"/>
    <x v="3"/>
    <x v="1"/>
    <s v="TRK22192783"/>
    <n v="5"/>
    <s v="FREESHIP"/>
    <x v="2"/>
    <n v="2313.12"/>
  </r>
  <r>
    <s v="ORD200966"/>
    <s v="2025-05-20"/>
    <s v="C58503"/>
    <x v="0"/>
    <n v="5"/>
    <n v="280.52"/>
    <s v="290 Main St"/>
    <x v="2"/>
    <x v="1"/>
    <s v="TRK12981657"/>
    <n v="7"/>
    <s v="WINTER15"/>
    <x v="3"/>
    <n v="1402.6"/>
  </r>
  <r>
    <s v="ORD200967"/>
    <s v="2025-05-06"/>
    <s v="C52879"/>
    <x v="2"/>
    <n v="5"/>
    <n v="638.91999999999996"/>
    <s v="502 Main St"/>
    <x v="2"/>
    <x v="2"/>
    <s v="TRK67403284"/>
    <n v="5"/>
    <s v="FREESHIP"/>
    <x v="4"/>
    <n v="3194.6"/>
  </r>
  <r>
    <s v="ORD200968"/>
    <s v="2024-02-08"/>
    <s v="C67870"/>
    <x v="0"/>
    <n v="4"/>
    <n v="412.2"/>
    <s v="664 Main St"/>
    <x v="2"/>
    <x v="0"/>
    <s v="TRK72602178"/>
    <n v="6"/>
    <s v="WINTER15"/>
    <x v="1"/>
    <n v="1648.8"/>
  </r>
  <r>
    <s v="ORD200969"/>
    <s v="2025-06-05"/>
    <s v="C19439"/>
    <x v="6"/>
    <n v="1"/>
    <n v="440.34"/>
    <s v="675 Main St"/>
    <x v="3"/>
    <x v="0"/>
    <s v="TRK25383993"/>
    <n v="2"/>
    <s v="WINTER15"/>
    <x v="3"/>
    <n v="440.34"/>
  </r>
  <r>
    <s v="ORD200970"/>
    <s v="2024-09-07"/>
    <s v="C72664"/>
    <x v="6"/>
    <n v="1"/>
    <n v="627.15"/>
    <s v="241 Main St"/>
    <x v="4"/>
    <x v="3"/>
    <s v="TRK86694331"/>
    <n v="5"/>
    <s v="SAVE10"/>
    <x v="0"/>
    <n v="627.15"/>
  </r>
  <r>
    <s v="ORD200971"/>
    <s v="2024-05-27"/>
    <s v="C32650"/>
    <x v="0"/>
    <n v="2"/>
    <n v="605.26"/>
    <s v="934 Main St"/>
    <x v="4"/>
    <x v="1"/>
    <s v="TRK66648743"/>
    <n v="4"/>
    <s v="WINTER15"/>
    <x v="1"/>
    <n v="1210.52"/>
  </r>
  <r>
    <s v="ORD200972"/>
    <s v="2024-06-09"/>
    <s v="C66438"/>
    <x v="5"/>
    <n v="1"/>
    <n v="90.27"/>
    <s v="816 Main St"/>
    <x v="4"/>
    <x v="3"/>
    <s v="TRK32035271"/>
    <n v="5"/>
    <s v="SAVE10"/>
    <x v="3"/>
    <n v="90.27"/>
  </r>
  <r>
    <s v="ORD200973"/>
    <s v="2025-06-0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s v="2023-09-27"/>
    <s v="C30722"/>
    <x v="6"/>
    <n v="5"/>
    <n v="266.77999999999997"/>
    <s v="274 Main St"/>
    <x v="3"/>
    <x v="1"/>
    <s v="TRK52088168"/>
    <n v="5"/>
    <s v="None"/>
    <x v="2"/>
    <n v="1333.9"/>
  </r>
  <r>
    <s v="ORD200975"/>
    <s v="2023-05-18"/>
    <s v="C70529"/>
    <x v="6"/>
    <n v="1"/>
    <n v="105.92"/>
    <s v="974 Main St"/>
    <x v="3"/>
    <x v="2"/>
    <s v="TRK82165408"/>
    <n v="6"/>
    <s v="SAVE10"/>
    <x v="2"/>
    <n v="105.92"/>
  </r>
  <r>
    <s v="ORD200976"/>
    <s v="2024-04-04"/>
    <s v="C18984"/>
    <x v="2"/>
    <n v="3"/>
    <n v="589.29999999999995"/>
    <s v="650 Main St"/>
    <x v="2"/>
    <x v="2"/>
    <s v="TRK49298239"/>
    <n v="6"/>
    <s v="WINTER15"/>
    <x v="1"/>
    <n v="1767.9"/>
  </r>
  <r>
    <s v="ORD200977"/>
    <s v="2023-01-28"/>
    <s v="C85841"/>
    <x v="3"/>
    <n v="4"/>
    <n v="649.47"/>
    <s v="608 Main St"/>
    <x v="4"/>
    <x v="4"/>
    <s v="TRK99820544"/>
    <n v="8"/>
    <s v="SAVE10"/>
    <x v="4"/>
    <n v="2597.88"/>
  </r>
  <r>
    <s v="ORD200978"/>
    <s v="2024-06-25"/>
    <s v="C41508"/>
    <x v="4"/>
    <n v="4"/>
    <n v="107.49"/>
    <s v="993 Main St"/>
    <x v="4"/>
    <x v="3"/>
    <s v="TRK61047536"/>
    <n v="5"/>
    <s v="None"/>
    <x v="4"/>
    <n v="429.96"/>
  </r>
  <r>
    <s v="ORD200979"/>
    <s v="2023-05-31"/>
    <s v="C75018"/>
    <x v="0"/>
    <n v="3"/>
    <n v="669.06"/>
    <s v="299 Main St"/>
    <x v="4"/>
    <x v="3"/>
    <s v="TRK51794806"/>
    <n v="7"/>
    <s v="SAVE10"/>
    <x v="3"/>
    <n v="2007.18"/>
  </r>
  <r>
    <s v="ORD200980"/>
    <s v="2023-10-14"/>
    <s v="C84320"/>
    <x v="3"/>
    <n v="3"/>
    <n v="69.650000000000006"/>
    <s v="107 Main St"/>
    <x v="4"/>
    <x v="3"/>
    <s v="TRK81093218"/>
    <n v="7"/>
    <s v="WINTER15"/>
    <x v="0"/>
    <n v="208.95"/>
  </r>
  <r>
    <s v="ORD200981"/>
    <s v="2023-11-26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s v="2024-09-06"/>
    <s v="C64935"/>
    <x v="0"/>
    <n v="1"/>
    <n v="304.11"/>
    <s v="707 Main St"/>
    <x v="3"/>
    <x v="0"/>
    <s v="TRK42969065"/>
    <n v="2"/>
    <s v="SAVE10"/>
    <x v="1"/>
    <n v="304.11"/>
  </r>
  <r>
    <s v="ORD200983"/>
    <s v="2024-11-24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s v="2025-02-28"/>
    <s v="C44176"/>
    <x v="6"/>
    <n v="1"/>
    <n v="77.64"/>
    <s v="706 Main St"/>
    <x v="2"/>
    <x v="0"/>
    <s v="TRK68704764"/>
    <n v="1"/>
    <s v="FREESHIP"/>
    <x v="3"/>
    <n v="77.64"/>
  </r>
  <r>
    <s v="ORD200985"/>
    <s v="2024-07-20"/>
    <s v="C92788"/>
    <x v="6"/>
    <n v="1"/>
    <n v="243.71"/>
    <s v="948 Main St"/>
    <x v="3"/>
    <x v="3"/>
    <s v="TRK83835361"/>
    <n v="6"/>
    <s v="SAVE10"/>
    <x v="4"/>
    <n v="243.71"/>
  </r>
  <r>
    <s v="ORD200986"/>
    <s v="2024-09-07"/>
    <s v="C69213"/>
    <x v="5"/>
    <n v="4"/>
    <n v="644.96"/>
    <s v="533 Main St"/>
    <x v="2"/>
    <x v="4"/>
    <s v="TRK67837331"/>
    <n v="7"/>
    <s v="FREESHIP"/>
    <x v="2"/>
    <n v="2579.84"/>
  </r>
  <r>
    <s v="ORD200987"/>
    <s v="2025-06-05"/>
    <s v="C67387"/>
    <x v="1"/>
    <n v="5"/>
    <n v="283.73"/>
    <s v="436 Main St"/>
    <x v="3"/>
    <x v="4"/>
    <s v="TRK54120003"/>
    <n v="8"/>
    <s v="FREESHIP"/>
    <x v="0"/>
    <n v="1418.65"/>
  </r>
  <r>
    <s v="ORD200988"/>
    <s v="2025-02-04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s v="2023-03-23"/>
    <s v="C49995"/>
    <x v="5"/>
    <n v="4"/>
    <n v="246.11"/>
    <s v="559 Main St"/>
    <x v="2"/>
    <x v="4"/>
    <s v="TRK33212013"/>
    <n v="4"/>
    <s v="SAVE10"/>
    <x v="0"/>
    <n v="984.44"/>
  </r>
  <r>
    <s v="ORD200990"/>
    <s v="2023-11-19"/>
    <s v="C52313"/>
    <x v="1"/>
    <n v="2"/>
    <n v="418.26"/>
    <s v="913 Main St"/>
    <x v="0"/>
    <x v="4"/>
    <s v="TRK67368559"/>
    <n v="2"/>
    <s v="SAVE10"/>
    <x v="4"/>
    <n v="836.52"/>
  </r>
  <r>
    <s v="ORD200991"/>
    <s v="2024-05-09"/>
    <s v="C10211"/>
    <x v="6"/>
    <n v="5"/>
    <n v="127.18"/>
    <s v="598 Main St"/>
    <x v="0"/>
    <x v="1"/>
    <s v="TRK68938335"/>
    <n v="10"/>
    <s v="FREESHIP"/>
    <x v="4"/>
    <n v="635.9"/>
  </r>
  <r>
    <s v="ORD200992"/>
    <s v="2024-08-27"/>
    <s v="C97907"/>
    <x v="4"/>
    <n v="3"/>
    <n v="586.21"/>
    <s v="933 Main St"/>
    <x v="3"/>
    <x v="4"/>
    <s v="TRK89637569"/>
    <n v="4"/>
    <s v="WINTER15"/>
    <x v="1"/>
    <n v="1758.63"/>
  </r>
  <r>
    <s v="ORD200993"/>
    <s v="2024-04-06"/>
    <s v="C61384"/>
    <x v="0"/>
    <n v="3"/>
    <n v="267.45"/>
    <s v="576 Main St"/>
    <x v="3"/>
    <x v="3"/>
    <s v="TRK33323210"/>
    <n v="5"/>
    <s v="WINTER15"/>
    <x v="0"/>
    <n v="802.35"/>
  </r>
  <r>
    <s v="ORD200994"/>
    <s v="2024-06-27"/>
    <s v="C27613"/>
    <x v="2"/>
    <n v="4"/>
    <n v="615.65"/>
    <s v="971 Main St"/>
    <x v="0"/>
    <x v="3"/>
    <s v="TRK63701318"/>
    <n v="9"/>
    <s v="WINTER15"/>
    <x v="4"/>
    <n v="2462.6"/>
  </r>
  <r>
    <s v="ORD200995"/>
    <s v="2023-11-18"/>
    <s v="C99271"/>
    <x v="0"/>
    <n v="2"/>
    <n v="113.29"/>
    <s v="959 Main St"/>
    <x v="4"/>
    <x v="4"/>
    <s v="TRK87832736"/>
    <n v="5"/>
    <s v="SAVE10"/>
    <x v="3"/>
    <n v="226.58"/>
  </r>
  <r>
    <s v="ORD200996"/>
    <s v="2024-04-28"/>
    <s v="C28648"/>
    <x v="0"/>
    <n v="4"/>
    <n v="473.86"/>
    <s v="101 Main St"/>
    <x v="0"/>
    <x v="3"/>
    <s v="TRK92240846"/>
    <n v="7"/>
    <s v="SAVE10"/>
    <x v="3"/>
    <n v="1895.44"/>
  </r>
  <r>
    <s v="ORD200997"/>
    <s v="2023-11-27"/>
    <s v="C26210"/>
    <x v="5"/>
    <n v="3"/>
    <n v="444.75"/>
    <s v="805 Main St"/>
    <x v="4"/>
    <x v="3"/>
    <s v="TRK40616861"/>
    <n v="6"/>
    <s v="SAVE10"/>
    <x v="3"/>
    <n v="1334.25"/>
  </r>
  <r>
    <s v="ORD200998"/>
    <s v="2023-05-19"/>
    <s v="C90350"/>
    <x v="1"/>
    <n v="2"/>
    <n v="183.67"/>
    <s v="783 Main St"/>
    <x v="0"/>
    <x v="1"/>
    <s v="TRK22824230"/>
    <n v="6"/>
    <s v="SAVE10"/>
    <x v="4"/>
    <n v="367.34"/>
  </r>
  <r>
    <s v="ORD200999"/>
    <s v="2023-12-24"/>
    <s v="C61957"/>
    <x v="4"/>
    <n v="1"/>
    <n v="483.38"/>
    <s v="652 Main St"/>
    <x v="4"/>
    <x v="4"/>
    <s v="TRK43983841"/>
    <n v="6"/>
    <s v="FREESHIP"/>
    <x v="4"/>
    <n v="483.38"/>
  </r>
  <r>
    <s v="ORD201000"/>
    <s v="2023-06-21"/>
    <s v="C90132"/>
    <x v="4"/>
    <n v="5"/>
    <n v="260.93"/>
    <s v="582 Main St"/>
    <x v="1"/>
    <x v="3"/>
    <s v="TRK52664903"/>
    <n v="9"/>
    <s v="SAVE10"/>
    <x v="2"/>
    <n v="1304.6500000000001"/>
  </r>
  <r>
    <s v="ORD201001"/>
    <s v="2023-12-08"/>
    <s v="C31371"/>
    <x v="4"/>
    <n v="2"/>
    <n v="253.68"/>
    <s v="122 Main St"/>
    <x v="3"/>
    <x v="0"/>
    <s v="TRK19554327"/>
    <n v="6"/>
    <s v="None"/>
    <x v="1"/>
    <n v="507.36"/>
  </r>
  <r>
    <s v="ORD201002"/>
    <s v="2025-06-19"/>
    <s v="C83911"/>
    <x v="2"/>
    <n v="4"/>
    <n v="699.88"/>
    <s v="944 Main St"/>
    <x v="4"/>
    <x v="4"/>
    <s v="TRK33188106"/>
    <n v="5"/>
    <s v="WINTER15"/>
    <x v="1"/>
    <n v="2799.52"/>
  </r>
  <r>
    <s v="ORD201003"/>
    <s v="2023-01-11"/>
    <s v="C84700"/>
    <x v="4"/>
    <n v="5"/>
    <n v="319.97000000000003"/>
    <s v="582 Main St"/>
    <x v="4"/>
    <x v="0"/>
    <s v="TRK14706969"/>
    <n v="7"/>
    <s v="SAVE10"/>
    <x v="4"/>
    <n v="1599.85"/>
  </r>
  <r>
    <s v="ORD201004"/>
    <s v="2025-06-09"/>
    <s v="C87529"/>
    <x v="3"/>
    <n v="4"/>
    <n v="246.91"/>
    <s v="296 Main St"/>
    <x v="1"/>
    <x v="4"/>
    <s v="TRK15739505"/>
    <n v="8"/>
    <s v="SAVE10"/>
    <x v="1"/>
    <n v="987.64"/>
  </r>
  <r>
    <s v="ORD201005"/>
    <s v="2023-03-02"/>
    <s v="C38065"/>
    <x v="4"/>
    <n v="3"/>
    <n v="392.85"/>
    <s v="426 Main St"/>
    <x v="2"/>
    <x v="2"/>
    <s v="TRK11448295"/>
    <n v="6"/>
    <s v="None"/>
    <x v="4"/>
    <n v="1178.55"/>
  </r>
  <r>
    <s v="ORD201006"/>
    <s v="2024-05-27"/>
    <s v="C27435"/>
    <x v="2"/>
    <n v="5"/>
    <n v="420.98"/>
    <s v="860 Main St"/>
    <x v="4"/>
    <x v="3"/>
    <s v="TRK91458233"/>
    <n v="7"/>
    <s v="SAVE10"/>
    <x v="3"/>
    <n v="2104.9"/>
  </r>
  <r>
    <s v="ORD201007"/>
    <s v="2024-03-2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s v="2023-01-13"/>
    <s v="C62557"/>
    <x v="0"/>
    <n v="3"/>
    <n v="410.88"/>
    <s v="257 Main St"/>
    <x v="4"/>
    <x v="3"/>
    <s v="TRK12742366"/>
    <n v="8"/>
    <s v="FREESHIP"/>
    <x v="0"/>
    <n v="1232.6400000000001"/>
  </r>
  <r>
    <s v="ORD201009"/>
    <s v="2023-09-02"/>
    <s v="C54494"/>
    <x v="2"/>
    <n v="2"/>
    <n v="176.46"/>
    <s v="696 Main St"/>
    <x v="2"/>
    <x v="3"/>
    <s v="TRK95958645"/>
    <n v="2"/>
    <s v="FREESHIP"/>
    <x v="2"/>
    <n v="352.92"/>
  </r>
  <r>
    <s v="ORD201010"/>
    <s v="2023-03-31"/>
    <s v="C33729"/>
    <x v="0"/>
    <n v="3"/>
    <n v="659.57"/>
    <s v="533 Main St"/>
    <x v="2"/>
    <x v="1"/>
    <s v="TRK35649833"/>
    <n v="6"/>
    <s v="SAVE10"/>
    <x v="2"/>
    <n v="1978.71"/>
  </r>
  <r>
    <s v="ORD201011"/>
    <s v="2024-12-03"/>
    <s v="C47823"/>
    <x v="1"/>
    <n v="2"/>
    <n v="478.36"/>
    <s v="654 Main St"/>
    <x v="1"/>
    <x v="0"/>
    <s v="TRK22271097"/>
    <n v="3"/>
    <s v="None"/>
    <x v="4"/>
    <n v="956.72"/>
  </r>
  <r>
    <s v="ORD201012"/>
    <s v="2024-12-03"/>
    <s v="C84570"/>
    <x v="4"/>
    <n v="4"/>
    <n v="30.05"/>
    <s v="301 Main St"/>
    <x v="1"/>
    <x v="2"/>
    <s v="TRK12551882"/>
    <n v="6"/>
    <s v="None"/>
    <x v="3"/>
    <n v="120.2"/>
  </r>
  <r>
    <s v="ORD201013"/>
    <s v="2025-04-26"/>
    <s v="C91123"/>
    <x v="5"/>
    <n v="4"/>
    <n v="300.56"/>
    <s v="842 Main St"/>
    <x v="4"/>
    <x v="1"/>
    <s v="TRK49568409"/>
    <n v="9"/>
    <s v="FREESHIP"/>
    <x v="3"/>
    <n v="1202.24"/>
  </r>
  <r>
    <s v="ORD201014"/>
    <s v="2024-02-04"/>
    <s v="C92548"/>
    <x v="2"/>
    <n v="5"/>
    <n v="226.45"/>
    <s v="160 Main St"/>
    <x v="0"/>
    <x v="2"/>
    <s v="TRK21682892"/>
    <n v="6"/>
    <s v="FREESHIP"/>
    <x v="2"/>
    <n v="1132.25"/>
  </r>
  <r>
    <s v="ORD201015"/>
    <s v="2024-01-26"/>
    <s v="C97454"/>
    <x v="4"/>
    <n v="2"/>
    <n v="349.4"/>
    <s v="892 Main St"/>
    <x v="1"/>
    <x v="0"/>
    <s v="TRK73249329"/>
    <n v="2"/>
    <s v="SAVE10"/>
    <x v="0"/>
    <n v="698.8"/>
  </r>
  <r>
    <s v="ORD201016"/>
    <s v="2023-12-29"/>
    <s v="C20257"/>
    <x v="2"/>
    <n v="5"/>
    <n v="268.77999999999997"/>
    <s v="669 Main St"/>
    <x v="0"/>
    <x v="3"/>
    <s v="TRK62135578"/>
    <n v="7"/>
    <s v="WINTER15"/>
    <x v="2"/>
    <n v="1343.9"/>
  </r>
  <r>
    <s v="ORD201017"/>
    <s v="2024-08-25"/>
    <s v="C51694"/>
    <x v="3"/>
    <n v="2"/>
    <n v="680.85"/>
    <s v="953 Main St"/>
    <x v="3"/>
    <x v="3"/>
    <s v="TRK83122112"/>
    <n v="6"/>
    <s v="FREESHIP"/>
    <x v="1"/>
    <n v="1361.7"/>
  </r>
  <r>
    <s v="ORD201018"/>
    <s v="2023-07-08"/>
    <s v="C77499"/>
    <x v="5"/>
    <n v="3"/>
    <n v="182.48"/>
    <s v="209 Main St"/>
    <x v="4"/>
    <x v="3"/>
    <s v="TRK20703086"/>
    <n v="3"/>
    <s v="None"/>
    <x v="0"/>
    <n v="547.44000000000005"/>
  </r>
  <r>
    <s v="ORD201019"/>
    <s v="2024-04-0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s v="2024-04-22"/>
    <s v="C50211"/>
    <x v="2"/>
    <n v="2"/>
    <n v="26.5"/>
    <s v="312 Main St"/>
    <x v="1"/>
    <x v="3"/>
    <s v="TRK47787981"/>
    <n v="3"/>
    <s v="SAVE10"/>
    <x v="0"/>
    <n v="53"/>
  </r>
  <r>
    <s v="ORD201021"/>
    <s v="2023-10-23"/>
    <s v="C74519"/>
    <x v="1"/>
    <n v="3"/>
    <n v="315.27"/>
    <s v="309 Main St"/>
    <x v="2"/>
    <x v="1"/>
    <s v="TRK97351945"/>
    <n v="4"/>
    <s v="SAVE10"/>
    <x v="2"/>
    <n v="945.81"/>
  </r>
  <r>
    <s v="ORD201022"/>
    <s v="2025-02-24"/>
    <s v="C19071"/>
    <x v="2"/>
    <n v="3"/>
    <n v="450.98"/>
    <s v="396 Main St"/>
    <x v="2"/>
    <x v="0"/>
    <s v="TRK66537096"/>
    <n v="8"/>
    <s v="SAVE10"/>
    <x v="1"/>
    <n v="1352.94"/>
  </r>
  <r>
    <s v="ORD201023"/>
    <s v="2024-09-23"/>
    <s v="C65251"/>
    <x v="5"/>
    <n v="5"/>
    <n v="233.67"/>
    <s v="291 Main St"/>
    <x v="4"/>
    <x v="0"/>
    <s v="TRK32059025"/>
    <n v="10"/>
    <s v="None"/>
    <x v="1"/>
    <n v="1168.3499999999999"/>
  </r>
  <r>
    <s v="ORD201024"/>
    <s v="2024-01-29"/>
    <s v="C90612"/>
    <x v="3"/>
    <n v="3"/>
    <n v="367.75"/>
    <s v="731 Main St"/>
    <x v="4"/>
    <x v="4"/>
    <s v="TRK93022878"/>
    <n v="7"/>
    <s v="FREESHIP"/>
    <x v="3"/>
    <n v="1103.25"/>
  </r>
  <r>
    <s v="ORD201025"/>
    <s v="2025-05-17"/>
    <s v="C28406"/>
    <x v="3"/>
    <n v="1"/>
    <n v="23.53"/>
    <s v="174 Main St"/>
    <x v="3"/>
    <x v="3"/>
    <s v="TRK98841457"/>
    <n v="2"/>
    <s v="FREESHIP"/>
    <x v="0"/>
    <n v="23.53"/>
  </r>
  <r>
    <s v="ORD201026"/>
    <s v="2023-05-01"/>
    <s v="C55454"/>
    <x v="0"/>
    <n v="1"/>
    <n v="677.48"/>
    <s v="807 Main St"/>
    <x v="1"/>
    <x v="3"/>
    <s v="TRK13281370"/>
    <n v="1"/>
    <s v="WINTER15"/>
    <x v="3"/>
    <n v="677.48"/>
  </r>
  <r>
    <s v="ORD201027"/>
    <s v="2024-05-21"/>
    <s v="C93467"/>
    <x v="5"/>
    <n v="4"/>
    <n v="554.83000000000004"/>
    <s v="983 Main St"/>
    <x v="4"/>
    <x v="2"/>
    <s v="TRK77377373"/>
    <n v="6"/>
    <s v="None"/>
    <x v="4"/>
    <n v="2219.3200000000002"/>
  </r>
  <r>
    <s v="ORD201028"/>
    <s v="2023-02-17"/>
    <s v="C60042"/>
    <x v="6"/>
    <n v="4"/>
    <n v="440.31"/>
    <s v="610 Main St"/>
    <x v="4"/>
    <x v="1"/>
    <s v="TRK84651559"/>
    <n v="6"/>
    <s v="None"/>
    <x v="0"/>
    <n v="1761.24"/>
  </r>
  <r>
    <s v="ORD201029"/>
    <s v="2025-03-01"/>
    <s v="C44733"/>
    <x v="6"/>
    <n v="1"/>
    <n v="87.06"/>
    <s v="851 Main St"/>
    <x v="2"/>
    <x v="0"/>
    <s v="TRK41500198"/>
    <n v="4"/>
    <s v="FREESHIP"/>
    <x v="2"/>
    <n v="87.06"/>
  </r>
  <r>
    <s v="ORD201030"/>
    <s v="2023-10-02"/>
    <s v="C61773"/>
    <x v="1"/>
    <n v="4"/>
    <n v="245.28"/>
    <s v="176 Main St"/>
    <x v="2"/>
    <x v="3"/>
    <s v="TRK12936357"/>
    <n v="6"/>
    <s v="WINTER15"/>
    <x v="2"/>
    <n v="981.12"/>
  </r>
  <r>
    <s v="ORD201031"/>
    <s v="2023-02-28"/>
    <s v="C59183"/>
    <x v="1"/>
    <n v="5"/>
    <n v="664.51"/>
    <s v="136 Main St"/>
    <x v="0"/>
    <x v="4"/>
    <s v="TRK18129706"/>
    <n v="8"/>
    <s v="SAVE10"/>
    <x v="2"/>
    <n v="3322.55"/>
  </r>
  <r>
    <s v="ORD201032"/>
    <s v="2023-04-2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s v="2024-12-24"/>
    <s v="C20338"/>
    <x v="0"/>
    <n v="1"/>
    <n v="370.85"/>
    <s v="331 Main St"/>
    <x v="3"/>
    <x v="3"/>
    <s v="TRK30654048"/>
    <n v="2"/>
    <s v="FREESHIP"/>
    <x v="1"/>
    <n v="370.85"/>
  </r>
  <r>
    <s v="ORD201034"/>
    <s v="2024-06-16"/>
    <s v="C84524"/>
    <x v="4"/>
    <n v="4"/>
    <n v="517.98"/>
    <s v="766 Main St"/>
    <x v="4"/>
    <x v="1"/>
    <s v="TRK76751888"/>
    <n v="8"/>
    <s v="FREESHIP"/>
    <x v="3"/>
    <n v="2071.92"/>
  </r>
  <r>
    <s v="ORD201035"/>
    <s v="2023-11-12"/>
    <s v="C70315"/>
    <x v="5"/>
    <n v="4"/>
    <n v="506.11"/>
    <s v="911 Main St"/>
    <x v="4"/>
    <x v="1"/>
    <s v="TRK97732085"/>
    <n v="5"/>
    <s v="None"/>
    <x v="1"/>
    <n v="2024.44"/>
  </r>
  <r>
    <s v="ORD201036"/>
    <s v="2024-05-31"/>
    <s v="C98278"/>
    <x v="1"/>
    <n v="3"/>
    <n v="413.83"/>
    <s v="552 Main St"/>
    <x v="3"/>
    <x v="0"/>
    <s v="TRK49684737"/>
    <n v="8"/>
    <s v="SAVE10"/>
    <x v="3"/>
    <n v="1241.49"/>
  </r>
  <r>
    <s v="ORD201037"/>
    <s v="2023-12-13"/>
    <s v="C32347"/>
    <x v="4"/>
    <n v="1"/>
    <n v="249.81"/>
    <s v="408 Main St"/>
    <x v="4"/>
    <x v="4"/>
    <s v="TRK54073964"/>
    <n v="1"/>
    <s v="SAVE10"/>
    <x v="4"/>
    <n v="249.81"/>
  </r>
  <r>
    <s v="ORD201038"/>
    <s v="2025-03-15"/>
    <s v="C77961"/>
    <x v="2"/>
    <n v="3"/>
    <n v="362.53"/>
    <s v="422 Main St"/>
    <x v="0"/>
    <x v="2"/>
    <s v="TRK28969024"/>
    <n v="5"/>
    <s v="None"/>
    <x v="3"/>
    <n v="1087.5899999999999"/>
  </r>
  <r>
    <s v="ORD201039"/>
    <s v="2025-06-28"/>
    <s v="C49137"/>
    <x v="6"/>
    <n v="2"/>
    <n v="299.23"/>
    <s v="177 Main St"/>
    <x v="2"/>
    <x v="1"/>
    <s v="TRK79362428"/>
    <n v="2"/>
    <s v="WINTER15"/>
    <x v="0"/>
    <n v="598.46"/>
  </r>
  <r>
    <s v="ORD201040"/>
    <s v="2023-11-1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s v="2023-02-11"/>
    <s v="C21167"/>
    <x v="0"/>
    <n v="4"/>
    <n v="558.9"/>
    <s v="948 Main St"/>
    <x v="3"/>
    <x v="0"/>
    <s v="TRK97737564"/>
    <n v="9"/>
    <s v="WINTER15"/>
    <x v="4"/>
    <n v="2235.6"/>
  </r>
  <r>
    <s v="ORD201042"/>
    <s v="2024-12-09"/>
    <s v="C59724"/>
    <x v="2"/>
    <n v="2"/>
    <n v="409.75"/>
    <s v="414 Main St"/>
    <x v="0"/>
    <x v="0"/>
    <s v="TRK67878272"/>
    <n v="2"/>
    <s v="WINTER15"/>
    <x v="3"/>
    <n v="819.5"/>
  </r>
  <r>
    <s v="ORD201043"/>
    <s v="2025-01-11"/>
    <s v="C43965"/>
    <x v="2"/>
    <n v="2"/>
    <n v="179.96"/>
    <s v="675 Main St"/>
    <x v="3"/>
    <x v="0"/>
    <s v="TRK94346739"/>
    <n v="5"/>
    <s v="None"/>
    <x v="0"/>
    <n v="359.92"/>
  </r>
  <r>
    <s v="ORD201044"/>
    <s v="2025-06-22"/>
    <s v="C63018"/>
    <x v="4"/>
    <n v="1"/>
    <n v="38.49"/>
    <s v="215 Main St"/>
    <x v="2"/>
    <x v="3"/>
    <s v="TRK52335337"/>
    <n v="4"/>
    <s v="FREESHIP"/>
    <x v="1"/>
    <n v="38.49"/>
  </r>
  <r>
    <s v="ORD201045"/>
    <s v="2024-09-20"/>
    <s v="C11893"/>
    <x v="5"/>
    <n v="5"/>
    <n v="316.39999999999998"/>
    <s v="671 Main St"/>
    <x v="3"/>
    <x v="2"/>
    <s v="TRK72012758"/>
    <n v="7"/>
    <s v="None"/>
    <x v="2"/>
    <n v="1582"/>
  </r>
  <r>
    <s v="ORD201046"/>
    <s v="2024-10-07"/>
    <s v="C85421"/>
    <x v="2"/>
    <n v="3"/>
    <n v="547.15"/>
    <s v="466 Main St"/>
    <x v="1"/>
    <x v="0"/>
    <s v="TRK16524006"/>
    <n v="4"/>
    <s v="WINTER15"/>
    <x v="0"/>
    <n v="1641.45"/>
  </r>
  <r>
    <s v="ORD201047"/>
    <s v="2023-06-23"/>
    <s v="C81726"/>
    <x v="3"/>
    <n v="4"/>
    <n v="540.34"/>
    <s v="394 Main St"/>
    <x v="3"/>
    <x v="0"/>
    <s v="TRK69872994"/>
    <n v="6"/>
    <s v="WINTER15"/>
    <x v="1"/>
    <n v="2161.36"/>
  </r>
  <r>
    <s v="ORD201048"/>
    <s v="2024-09-09"/>
    <s v="C57601"/>
    <x v="0"/>
    <n v="4"/>
    <n v="73.650000000000006"/>
    <s v="889 Main St"/>
    <x v="0"/>
    <x v="0"/>
    <s v="TRK21153699"/>
    <n v="9"/>
    <s v="None"/>
    <x v="4"/>
    <n v="294.60000000000002"/>
  </r>
  <r>
    <s v="ORD201049"/>
    <s v="2024-07-18"/>
    <s v="C60575"/>
    <x v="6"/>
    <n v="5"/>
    <n v="391.86"/>
    <s v="587 Main St"/>
    <x v="2"/>
    <x v="0"/>
    <s v="TRK44468232"/>
    <n v="6"/>
    <s v="None"/>
    <x v="0"/>
    <n v="1959.3"/>
  </r>
  <r>
    <s v="ORD201050"/>
    <s v="2023-08-20"/>
    <s v="C70659"/>
    <x v="5"/>
    <n v="5"/>
    <n v="69.7"/>
    <s v="722 Main St"/>
    <x v="1"/>
    <x v="2"/>
    <s v="TRK49663597"/>
    <n v="9"/>
    <s v="None"/>
    <x v="0"/>
    <n v="348.5"/>
  </r>
  <r>
    <s v="ORD201051"/>
    <s v="2025-03-05"/>
    <s v="C35043"/>
    <x v="0"/>
    <n v="5"/>
    <n v="26.43"/>
    <s v="820 Main St"/>
    <x v="3"/>
    <x v="0"/>
    <s v="TRK65097450"/>
    <n v="5"/>
    <s v="FREESHIP"/>
    <x v="3"/>
    <n v="132.15"/>
  </r>
  <r>
    <s v="ORD201052"/>
    <s v="2023-09-11"/>
    <s v="C12301"/>
    <x v="2"/>
    <n v="1"/>
    <n v="531.74"/>
    <s v="493 Main St"/>
    <x v="1"/>
    <x v="0"/>
    <s v="TRK25145796"/>
    <n v="1"/>
    <s v="WINTER15"/>
    <x v="4"/>
    <n v="531.74"/>
  </r>
  <r>
    <s v="ORD201053"/>
    <s v="2024-09-15"/>
    <s v="C32798"/>
    <x v="1"/>
    <n v="2"/>
    <n v="496.62"/>
    <s v="679 Main St"/>
    <x v="1"/>
    <x v="4"/>
    <s v="TRK37375451"/>
    <n v="2"/>
    <s v="SAVE10"/>
    <x v="0"/>
    <n v="993.24"/>
  </r>
  <r>
    <s v="ORD201054"/>
    <s v="2023-11-29"/>
    <s v="C42949"/>
    <x v="4"/>
    <n v="1"/>
    <n v="660.66"/>
    <s v="447 Main St"/>
    <x v="0"/>
    <x v="3"/>
    <s v="TRK46415143"/>
    <n v="3"/>
    <s v="WINTER15"/>
    <x v="0"/>
    <n v="660.66"/>
  </r>
  <r>
    <s v="ORD201055"/>
    <s v="2023-10-23"/>
    <s v="C10787"/>
    <x v="0"/>
    <n v="4"/>
    <n v="274.82"/>
    <s v="932 Main St"/>
    <x v="0"/>
    <x v="3"/>
    <s v="TRK91512567"/>
    <n v="9"/>
    <s v="WINTER15"/>
    <x v="2"/>
    <n v="1099.28"/>
  </r>
  <r>
    <s v="ORD201056"/>
    <s v="2024-06-14"/>
    <s v="C26152"/>
    <x v="1"/>
    <n v="2"/>
    <n v="486.35"/>
    <s v="790 Main St"/>
    <x v="1"/>
    <x v="4"/>
    <s v="TRK49382455"/>
    <n v="6"/>
    <s v="SAVE10"/>
    <x v="1"/>
    <n v="972.7"/>
  </r>
  <r>
    <s v="ORD201057"/>
    <s v="2024-09-2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s v="2023-09-08"/>
    <s v="C32943"/>
    <x v="6"/>
    <n v="2"/>
    <n v="412.14"/>
    <s v="127 Main St"/>
    <x v="2"/>
    <x v="2"/>
    <s v="TRK26949106"/>
    <n v="2"/>
    <s v="FREESHIP"/>
    <x v="0"/>
    <n v="824.28"/>
  </r>
  <r>
    <s v="ORD201059"/>
    <s v="2024-09-22"/>
    <s v="C73629"/>
    <x v="6"/>
    <n v="1"/>
    <n v="265.64"/>
    <s v="601 Main St"/>
    <x v="2"/>
    <x v="2"/>
    <s v="TRK11492924"/>
    <n v="3"/>
    <s v="WINTER15"/>
    <x v="0"/>
    <n v="265.64"/>
  </r>
  <r>
    <s v="ORD201060"/>
    <s v="2024-05-07"/>
    <s v="C38024"/>
    <x v="2"/>
    <n v="2"/>
    <n v="273.43"/>
    <s v="824 Main St"/>
    <x v="4"/>
    <x v="0"/>
    <s v="TRK93370912"/>
    <n v="7"/>
    <s v="WINTER15"/>
    <x v="1"/>
    <n v="546.86"/>
  </r>
  <r>
    <s v="ORD201061"/>
    <s v="2025-01-29"/>
    <s v="C25445"/>
    <x v="5"/>
    <n v="5"/>
    <n v="131.69999999999999"/>
    <s v="830 Main St"/>
    <x v="4"/>
    <x v="0"/>
    <s v="TRK12402431"/>
    <n v="8"/>
    <s v="FREESHIP"/>
    <x v="4"/>
    <n v="658.5"/>
  </r>
  <r>
    <s v="ORD201062"/>
    <s v="2023-08-23"/>
    <s v="C13501"/>
    <x v="3"/>
    <n v="5"/>
    <n v="85.52"/>
    <s v="301 Main St"/>
    <x v="3"/>
    <x v="1"/>
    <s v="TRK65149372"/>
    <n v="5"/>
    <s v="None"/>
    <x v="3"/>
    <n v="427.6"/>
  </r>
  <r>
    <s v="ORD201063"/>
    <s v="2024-06-19"/>
    <s v="C42108"/>
    <x v="6"/>
    <n v="2"/>
    <n v="320.68"/>
    <s v="336 Main St"/>
    <x v="2"/>
    <x v="0"/>
    <s v="TRK58407918"/>
    <n v="5"/>
    <s v="FREESHIP"/>
    <x v="1"/>
    <n v="641.36"/>
  </r>
  <r>
    <s v="ORD201064"/>
    <s v="2025-02-12"/>
    <s v="C32121"/>
    <x v="5"/>
    <n v="4"/>
    <n v="198.81"/>
    <s v="654 Main St"/>
    <x v="4"/>
    <x v="2"/>
    <s v="TRK96074264"/>
    <n v="9"/>
    <s v="FREESHIP"/>
    <x v="1"/>
    <n v="795.24"/>
  </r>
  <r>
    <s v="ORD201065"/>
    <s v="2023-10-30"/>
    <s v="C47778"/>
    <x v="4"/>
    <n v="5"/>
    <n v="666.8"/>
    <s v="488 Main St"/>
    <x v="0"/>
    <x v="3"/>
    <s v="TRK79504329"/>
    <n v="7"/>
    <s v="SAVE10"/>
    <x v="1"/>
    <n v="3334"/>
  </r>
  <r>
    <s v="ORD201066"/>
    <s v="2023-12-20"/>
    <s v="C10791"/>
    <x v="6"/>
    <n v="1"/>
    <n v="355.09"/>
    <s v="674 Main St"/>
    <x v="0"/>
    <x v="1"/>
    <s v="TRK20321248"/>
    <n v="5"/>
    <s v="SAVE10"/>
    <x v="0"/>
    <n v="355.09"/>
  </r>
  <r>
    <s v="ORD201067"/>
    <s v="2023-06-06"/>
    <s v="C78959"/>
    <x v="1"/>
    <n v="2"/>
    <n v="316.2"/>
    <s v="384 Main St"/>
    <x v="1"/>
    <x v="2"/>
    <s v="TRK37426359"/>
    <n v="2"/>
    <s v="None"/>
    <x v="0"/>
    <n v="632.4"/>
  </r>
  <r>
    <s v="ORD201068"/>
    <s v="2024-08-03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s v="2023-02-25"/>
    <s v="C70506"/>
    <x v="0"/>
    <n v="1"/>
    <n v="454.23"/>
    <s v="255 Main St"/>
    <x v="3"/>
    <x v="2"/>
    <s v="TRK12518384"/>
    <n v="3"/>
    <s v="None"/>
    <x v="3"/>
    <n v="454.23"/>
  </r>
  <r>
    <s v="ORD201070"/>
    <s v="2024-09-06"/>
    <s v="C46873"/>
    <x v="6"/>
    <n v="4"/>
    <n v="491.29"/>
    <s v="496 Main St"/>
    <x v="0"/>
    <x v="4"/>
    <s v="TRK10926575"/>
    <n v="6"/>
    <s v="None"/>
    <x v="2"/>
    <n v="1965.16"/>
  </r>
  <r>
    <s v="ORD201071"/>
    <s v="2025-06-24"/>
    <s v="C94037"/>
    <x v="1"/>
    <n v="2"/>
    <n v="255.14"/>
    <s v="216 Main St"/>
    <x v="4"/>
    <x v="0"/>
    <s v="TRK47536985"/>
    <n v="2"/>
    <s v="None"/>
    <x v="4"/>
    <n v="510.28"/>
  </r>
  <r>
    <s v="ORD201072"/>
    <s v="2023-02-26"/>
    <s v="C88644"/>
    <x v="0"/>
    <n v="1"/>
    <n v="392.61"/>
    <s v="977 Main St"/>
    <x v="3"/>
    <x v="1"/>
    <s v="TRK14900878"/>
    <n v="4"/>
    <s v="SAVE10"/>
    <x v="1"/>
    <n v="392.61"/>
  </r>
  <r>
    <s v="ORD201073"/>
    <s v="2024-10-11"/>
    <s v="C69471"/>
    <x v="2"/>
    <n v="4"/>
    <n v="362.06"/>
    <s v="294 Main St"/>
    <x v="0"/>
    <x v="2"/>
    <s v="TRK11107152"/>
    <n v="4"/>
    <s v="None"/>
    <x v="3"/>
    <n v="1448.24"/>
  </r>
  <r>
    <s v="ORD201074"/>
    <s v="2024-05-10"/>
    <s v="C21437"/>
    <x v="1"/>
    <n v="1"/>
    <n v="222.73"/>
    <s v="120 Main St"/>
    <x v="1"/>
    <x v="2"/>
    <s v="TRK81624772"/>
    <n v="4"/>
    <s v="None"/>
    <x v="4"/>
    <n v="222.73"/>
  </r>
  <r>
    <s v="ORD201075"/>
    <s v="2024-08-31"/>
    <s v="C40949"/>
    <x v="0"/>
    <n v="2"/>
    <n v="552.63"/>
    <s v="609 Main St"/>
    <x v="0"/>
    <x v="3"/>
    <s v="TRK43066749"/>
    <n v="7"/>
    <s v="WINTER15"/>
    <x v="0"/>
    <n v="1105.26"/>
  </r>
  <r>
    <s v="ORD201076"/>
    <s v="2023-05-08"/>
    <s v="C99116"/>
    <x v="5"/>
    <n v="4"/>
    <n v="686.61"/>
    <s v="176 Main St"/>
    <x v="4"/>
    <x v="0"/>
    <s v="TRK52711973"/>
    <n v="6"/>
    <s v="None"/>
    <x v="1"/>
    <n v="2746.44"/>
  </r>
  <r>
    <s v="ORD201077"/>
    <s v="2025-03-07"/>
    <s v="C57861"/>
    <x v="4"/>
    <n v="3"/>
    <n v="305.16000000000003"/>
    <s v="115 Main St"/>
    <x v="2"/>
    <x v="1"/>
    <s v="TRK47775217"/>
    <n v="8"/>
    <s v="SAVE10"/>
    <x v="1"/>
    <n v="915.48"/>
  </r>
  <r>
    <s v="ORD201078"/>
    <s v="2023-03-18"/>
    <s v="C62627"/>
    <x v="6"/>
    <n v="1"/>
    <n v="41.09"/>
    <s v="881 Main St"/>
    <x v="1"/>
    <x v="2"/>
    <s v="TRK90060232"/>
    <n v="4"/>
    <s v="WINTER15"/>
    <x v="2"/>
    <n v="41.09"/>
  </r>
  <r>
    <s v="ORD201079"/>
    <s v="2024-06-20"/>
    <s v="C89979"/>
    <x v="1"/>
    <n v="5"/>
    <n v="634"/>
    <s v="144 Main St"/>
    <x v="3"/>
    <x v="3"/>
    <s v="TRK99055909"/>
    <n v="8"/>
    <s v="None"/>
    <x v="2"/>
    <n v="3170"/>
  </r>
  <r>
    <s v="ORD201080"/>
    <s v="2023-01-20"/>
    <s v="C70613"/>
    <x v="5"/>
    <n v="5"/>
    <n v="464.74"/>
    <s v="438 Main St"/>
    <x v="3"/>
    <x v="3"/>
    <s v="TRK33140293"/>
    <n v="7"/>
    <s v="None"/>
    <x v="1"/>
    <n v="2323.6999999999998"/>
  </r>
  <r>
    <s v="ORD201081"/>
    <s v="2023-04-21"/>
    <s v="C55636"/>
    <x v="0"/>
    <n v="4"/>
    <n v="425.6"/>
    <s v="494 Main St"/>
    <x v="2"/>
    <x v="4"/>
    <s v="TRK85897054"/>
    <n v="5"/>
    <s v="FREESHIP"/>
    <x v="4"/>
    <n v="1702.4"/>
  </r>
  <r>
    <s v="ORD201082"/>
    <s v="2023-10-06"/>
    <s v="C96595"/>
    <x v="3"/>
    <n v="3"/>
    <n v="573.22"/>
    <s v="177 Main St"/>
    <x v="0"/>
    <x v="4"/>
    <s v="TRK59779174"/>
    <n v="5"/>
    <s v="SAVE10"/>
    <x v="2"/>
    <n v="1719.66"/>
  </r>
  <r>
    <s v="ORD201083"/>
    <s v="2024-07-09"/>
    <s v="C68508"/>
    <x v="3"/>
    <n v="1"/>
    <n v="123.28"/>
    <s v="895 Main St"/>
    <x v="2"/>
    <x v="3"/>
    <s v="TRK98960285"/>
    <n v="3"/>
    <s v="SAVE10"/>
    <x v="2"/>
    <n v="123.28"/>
  </r>
  <r>
    <s v="ORD201084"/>
    <s v="2023-01-08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s v="2023-05-21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s v="2023-12-23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s v="2025-03-23"/>
    <s v="C84134"/>
    <x v="5"/>
    <n v="4"/>
    <n v="693.07"/>
    <s v="530 Main St"/>
    <x v="1"/>
    <x v="0"/>
    <s v="TRK48659380"/>
    <n v="8"/>
    <s v="SAVE10"/>
    <x v="0"/>
    <n v="2772.28"/>
  </r>
  <r>
    <s v="ORD201088"/>
    <s v="2023-11-30"/>
    <s v="C49831"/>
    <x v="6"/>
    <n v="3"/>
    <n v="491.43"/>
    <s v="213 Main St"/>
    <x v="3"/>
    <x v="0"/>
    <s v="TRK21232601"/>
    <n v="6"/>
    <s v="WINTER15"/>
    <x v="0"/>
    <n v="1474.29"/>
  </r>
  <r>
    <s v="ORD201089"/>
    <s v="2025-03-15"/>
    <s v="C13324"/>
    <x v="2"/>
    <n v="2"/>
    <n v="599.74"/>
    <s v="440 Main St"/>
    <x v="3"/>
    <x v="0"/>
    <s v="TRK66967997"/>
    <n v="2"/>
    <s v="None"/>
    <x v="0"/>
    <n v="1199.48"/>
  </r>
  <r>
    <s v="ORD201090"/>
    <s v="2023-02-25"/>
    <s v="C61225"/>
    <x v="0"/>
    <n v="2"/>
    <n v="650.25"/>
    <s v="996 Main St"/>
    <x v="3"/>
    <x v="2"/>
    <s v="TRK37022954"/>
    <n v="6"/>
    <s v="None"/>
    <x v="0"/>
    <n v="1300.5"/>
  </r>
  <r>
    <s v="ORD201091"/>
    <s v="2024-10-08"/>
    <s v="C16400"/>
    <x v="5"/>
    <n v="3"/>
    <n v="209.48"/>
    <s v="123 Main St"/>
    <x v="0"/>
    <x v="4"/>
    <s v="TRK57771859"/>
    <n v="4"/>
    <s v="None"/>
    <x v="2"/>
    <n v="628.44000000000005"/>
  </r>
  <r>
    <s v="ORD201092"/>
    <s v="2023-08-21"/>
    <s v="C38642"/>
    <x v="5"/>
    <n v="5"/>
    <n v="209.2"/>
    <s v="930 Main St"/>
    <x v="0"/>
    <x v="3"/>
    <s v="TRK47744396"/>
    <n v="6"/>
    <s v="WINTER15"/>
    <x v="2"/>
    <n v="1046"/>
  </r>
  <r>
    <s v="ORD201093"/>
    <s v="2023-06-09"/>
    <s v="C86773"/>
    <x v="1"/>
    <n v="4"/>
    <n v="197.36"/>
    <s v="557 Main St"/>
    <x v="3"/>
    <x v="2"/>
    <s v="TRK22612240"/>
    <n v="9"/>
    <s v="FREESHIP"/>
    <x v="0"/>
    <n v="789.44"/>
  </r>
  <r>
    <s v="ORD201094"/>
    <s v="2023-06-28"/>
    <s v="C66093"/>
    <x v="4"/>
    <n v="4"/>
    <n v="648.91"/>
    <s v="615 Main St"/>
    <x v="2"/>
    <x v="0"/>
    <s v="TRK54950785"/>
    <n v="6"/>
    <s v="SAVE10"/>
    <x v="0"/>
    <n v="2595.64"/>
  </r>
  <r>
    <s v="ORD201095"/>
    <s v="2024-04-23"/>
    <s v="C33051"/>
    <x v="1"/>
    <n v="2"/>
    <n v="441.54"/>
    <s v="397 Main St"/>
    <x v="1"/>
    <x v="3"/>
    <s v="TRK92929755"/>
    <n v="2"/>
    <s v="SAVE10"/>
    <x v="2"/>
    <n v="883.08"/>
  </r>
  <r>
    <s v="ORD201096"/>
    <s v="2025-05-03"/>
    <s v="C18169"/>
    <x v="2"/>
    <n v="2"/>
    <n v="464.92"/>
    <s v="782 Main St"/>
    <x v="0"/>
    <x v="2"/>
    <s v="TRK49482923"/>
    <n v="2"/>
    <s v="None"/>
    <x v="3"/>
    <n v="929.84"/>
  </r>
  <r>
    <s v="ORD201097"/>
    <s v="2024-12-26"/>
    <s v="C81370"/>
    <x v="0"/>
    <n v="5"/>
    <n v="506.45"/>
    <s v="344 Main St"/>
    <x v="3"/>
    <x v="0"/>
    <s v="TRK99682998"/>
    <n v="7"/>
    <s v="WINTER15"/>
    <x v="4"/>
    <n v="2532.25"/>
  </r>
  <r>
    <s v="ORD201098"/>
    <s v="2023-06-17"/>
    <s v="C91103"/>
    <x v="0"/>
    <n v="4"/>
    <n v="255.86"/>
    <s v="155 Main St"/>
    <x v="2"/>
    <x v="3"/>
    <s v="TRK91653000"/>
    <n v="7"/>
    <s v="None"/>
    <x v="2"/>
    <n v="1023.44"/>
  </r>
  <r>
    <s v="ORD201099"/>
    <s v="2024-09-19"/>
    <s v="C21953"/>
    <x v="5"/>
    <n v="2"/>
    <n v="125.23"/>
    <s v="272 Main St"/>
    <x v="4"/>
    <x v="1"/>
    <s v="TRK60774796"/>
    <n v="3"/>
    <s v="FREESHIP"/>
    <x v="2"/>
    <n v="250.46"/>
  </r>
  <r>
    <s v="ORD201100"/>
    <s v="2023-08-17"/>
    <s v="C15146"/>
    <x v="5"/>
    <n v="5"/>
    <n v="38.11"/>
    <s v="428 Main St"/>
    <x v="0"/>
    <x v="1"/>
    <s v="TRK79790530"/>
    <n v="6"/>
    <s v="WINTER15"/>
    <x v="0"/>
    <n v="190.55"/>
  </r>
  <r>
    <s v="ORD201101"/>
    <s v="2025-06-08"/>
    <s v="C43546"/>
    <x v="0"/>
    <n v="3"/>
    <n v="161.97"/>
    <s v="904 Main St"/>
    <x v="4"/>
    <x v="4"/>
    <s v="TRK85871121"/>
    <n v="4"/>
    <s v="SAVE10"/>
    <x v="2"/>
    <n v="485.91"/>
  </r>
  <r>
    <s v="ORD201102"/>
    <s v="2024-06-03"/>
    <s v="C98474"/>
    <x v="3"/>
    <n v="4"/>
    <n v="347.17"/>
    <s v="997 Main St"/>
    <x v="0"/>
    <x v="0"/>
    <s v="TRK86192984"/>
    <n v="8"/>
    <s v="None"/>
    <x v="0"/>
    <n v="1388.68"/>
  </r>
  <r>
    <s v="ORD201103"/>
    <s v="2023-04-24"/>
    <s v="C90292"/>
    <x v="5"/>
    <n v="4"/>
    <n v="276.32"/>
    <s v="129 Main St"/>
    <x v="1"/>
    <x v="3"/>
    <s v="TRK26270357"/>
    <n v="5"/>
    <s v="None"/>
    <x v="4"/>
    <n v="1105.28"/>
  </r>
  <r>
    <s v="ORD201104"/>
    <s v="2024-07-25"/>
    <s v="C17075"/>
    <x v="2"/>
    <n v="4"/>
    <n v="314.76"/>
    <s v="850 Main St"/>
    <x v="1"/>
    <x v="0"/>
    <s v="TRK63547510"/>
    <n v="8"/>
    <s v="None"/>
    <x v="0"/>
    <n v="1259.04"/>
  </r>
  <r>
    <s v="ORD201105"/>
    <s v="2024-01-08"/>
    <s v="C12487"/>
    <x v="2"/>
    <n v="3"/>
    <n v="475.69"/>
    <s v="884 Main St"/>
    <x v="3"/>
    <x v="1"/>
    <s v="TRK23324770"/>
    <n v="3"/>
    <s v="FREESHIP"/>
    <x v="4"/>
    <n v="1427.07"/>
  </r>
  <r>
    <s v="ORD201106"/>
    <s v="2023-03-12"/>
    <s v="C34555"/>
    <x v="3"/>
    <n v="1"/>
    <n v="372.8"/>
    <s v="903 Main St"/>
    <x v="4"/>
    <x v="1"/>
    <s v="TRK72859458"/>
    <n v="6"/>
    <s v="SAVE10"/>
    <x v="3"/>
    <n v="372.8"/>
  </r>
  <r>
    <s v="ORD201107"/>
    <s v="2025-06-30"/>
    <s v="C25110"/>
    <x v="2"/>
    <n v="2"/>
    <n v="63.21"/>
    <s v="282 Main St"/>
    <x v="1"/>
    <x v="1"/>
    <s v="TRK80963328"/>
    <n v="4"/>
    <s v="SAVE10"/>
    <x v="4"/>
    <n v="126.42"/>
  </r>
  <r>
    <s v="ORD201108"/>
    <s v="2023-03-2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s v="2024-04-08"/>
    <s v="C62277"/>
    <x v="4"/>
    <n v="4"/>
    <n v="77.47"/>
    <s v="474 Main St"/>
    <x v="3"/>
    <x v="2"/>
    <s v="TRK32026174"/>
    <n v="7"/>
    <s v="SAVE10"/>
    <x v="0"/>
    <n v="309.88"/>
  </r>
  <r>
    <s v="ORD201110"/>
    <s v="2024-02-25"/>
    <s v="C12472"/>
    <x v="3"/>
    <n v="3"/>
    <n v="84.31"/>
    <s v="912 Main St"/>
    <x v="2"/>
    <x v="0"/>
    <s v="TRK36103184"/>
    <n v="3"/>
    <s v="SAVE10"/>
    <x v="2"/>
    <n v="252.93"/>
  </r>
  <r>
    <s v="ORD201111"/>
    <s v="2023-05-06"/>
    <s v="C24047"/>
    <x v="0"/>
    <n v="4"/>
    <n v="234.45"/>
    <s v="362 Main St"/>
    <x v="1"/>
    <x v="1"/>
    <s v="TRK91338580"/>
    <n v="9"/>
    <s v="FREESHIP"/>
    <x v="0"/>
    <n v="937.8"/>
  </r>
  <r>
    <s v="ORD201112"/>
    <s v="2023-10-13"/>
    <s v="C76929"/>
    <x v="6"/>
    <n v="1"/>
    <n v="356.81"/>
    <s v="563 Main St"/>
    <x v="1"/>
    <x v="3"/>
    <s v="TRK80694400"/>
    <n v="1"/>
    <s v="WINTER15"/>
    <x v="0"/>
    <n v="356.81"/>
  </r>
  <r>
    <s v="ORD201113"/>
    <s v="2023-03-19"/>
    <s v="C52914"/>
    <x v="6"/>
    <n v="4"/>
    <n v="209.99"/>
    <s v="168 Main St"/>
    <x v="4"/>
    <x v="3"/>
    <s v="TRK80819053"/>
    <n v="8"/>
    <s v="None"/>
    <x v="4"/>
    <n v="839.96"/>
  </r>
  <r>
    <s v="ORD201114"/>
    <s v="2023-03-16"/>
    <s v="C55164"/>
    <x v="2"/>
    <n v="3"/>
    <n v="659.88"/>
    <s v="609 Main St"/>
    <x v="3"/>
    <x v="1"/>
    <s v="TRK79610967"/>
    <n v="3"/>
    <s v="None"/>
    <x v="4"/>
    <n v="1979.64"/>
  </r>
  <r>
    <s v="ORD201115"/>
    <s v="2025-06-20"/>
    <s v="C70426"/>
    <x v="5"/>
    <n v="2"/>
    <n v="336.32"/>
    <s v="562 Main St"/>
    <x v="1"/>
    <x v="2"/>
    <s v="TRK89687816"/>
    <n v="3"/>
    <s v="None"/>
    <x v="4"/>
    <n v="672.64"/>
  </r>
  <r>
    <s v="ORD201116"/>
    <s v="2023-10-14"/>
    <s v="C69149"/>
    <x v="4"/>
    <n v="2"/>
    <n v="531.49"/>
    <s v="562 Main St"/>
    <x v="2"/>
    <x v="3"/>
    <s v="TRK61265132"/>
    <n v="7"/>
    <s v="WINTER15"/>
    <x v="3"/>
    <n v="1062.98"/>
  </r>
  <r>
    <s v="ORD201117"/>
    <s v="2024-05-2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s v="2024-05-24"/>
    <s v="C58168"/>
    <x v="1"/>
    <n v="3"/>
    <n v="251.48"/>
    <s v="359 Main St"/>
    <x v="2"/>
    <x v="2"/>
    <s v="TRK99102265"/>
    <n v="4"/>
    <s v="None"/>
    <x v="2"/>
    <n v="754.44"/>
  </r>
  <r>
    <s v="ORD201119"/>
    <s v="2024-11-24"/>
    <s v="C99024"/>
    <x v="5"/>
    <n v="1"/>
    <n v="684.65"/>
    <s v="250 Main St"/>
    <x v="2"/>
    <x v="3"/>
    <s v="TRK24675988"/>
    <n v="1"/>
    <s v="FREESHIP"/>
    <x v="2"/>
    <n v="684.65"/>
  </r>
  <r>
    <s v="ORD201120"/>
    <s v="2025-05-10"/>
    <s v="C22919"/>
    <x v="2"/>
    <n v="1"/>
    <n v="195.86"/>
    <s v="267 Main St"/>
    <x v="1"/>
    <x v="4"/>
    <s v="TRK82416295"/>
    <n v="3"/>
    <s v="None"/>
    <x v="3"/>
    <n v="195.86"/>
  </r>
  <r>
    <s v="ORD201121"/>
    <s v="2023-05-28"/>
    <s v="C98354"/>
    <x v="1"/>
    <n v="3"/>
    <n v="50.34"/>
    <s v="393 Main St"/>
    <x v="3"/>
    <x v="2"/>
    <s v="TRK43070888"/>
    <n v="3"/>
    <s v="FREESHIP"/>
    <x v="0"/>
    <n v="151.02000000000001"/>
  </r>
  <r>
    <s v="ORD201122"/>
    <s v="2023-06-07"/>
    <s v="C38840"/>
    <x v="0"/>
    <n v="5"/>
    <n v="678.19"/>
    <s v="766 Main St"/>
    <x v="1"/>
    <x v="2"/>
    <s v="TRK32496970"/>
    <n v="8"/>
    <s v="None"/>
    <x v="3"/>
    <n v="3390.95"/>
  </r>
  <r>
    <s v="ORD201123"/>
    <s v="2023-04-14"/>
    <s v="C68936"/>
    <x v="2"/>
    <n v="3"/>
    <n v="554.25"/>
    <s v="843 Main St"/>
    <x v="0"/>
    <x v="0"/>
    <s v="TRK73163634"/>
    <n v="6"/>
    <s v="WINTER15"/>
    <x v="1"/>
    <n v="1662.75"/>
  </r>
  <r>
    <s v="ORD201124"/>
    <s v="2023-05-09"/>
    <s v="C33744"/>
    <x v="3"/>
    <n v="4"/>
    <n v="576.87"/>
    <s v="888 Main St"/>
    <x v="3"/>
    <x v="2"/>
    <s v="TRK40245983"/>
    <n v="5"/>
    <s v="None"/>
    <x v="0"/>
    <n v="2307.48"/>
  </r>
  <r>
    <s v="ORD201125"/>
    <s v="2023-10-16"/>
    <s v="C23555"/>
    <x v="6"/>
    <n v="4"/>
    <n v="408.36"/>
    <s v="156 Main St"/>
    <x v="3"/>
    <x v="1"/>
    <s v="TRK67210247"/>
    <n v="4"/>
    <s v="FREESHIP"/>
    <x v="1"/>
    <n v="1633.44"/>
  </r>
  <r>
    <s v="ORD201126"/>
    <s v="2024-07-22"/>
    <s v="C34337"/>
    <x v="1"/>
    <n v="5"/>
    <n v="190.11"/>
    <s v="325 Main St"/>
    <x v="4"/>
    <x v="3"/>
    <s v="TRK36195559"/>
    <n v="7"/>
    <s v="SAVE10"/>
    <x v="4"/>
    <n v="950.55"/>
  </r>
  <r>
    <s v="ORD201127"/>
    <s v="2025-03-15"/>
    <s v="C69396"/>
    <x v="4"/>
    <n v="3"/>
    <n v="602.75"/>
    <s v="920 Main St"/>
    <x v="2"/>
    <x v="0"/>
    <s v="TRK33155049"/>
    <n v="6"/>
    <s v="SAVE10"/>
    <x v="2"/>
    <n v="1808.25"/>
  </r>
  <r>
    <s v="ORD201128"/>
    <s v="2023-08-17"/>
    <s v="C49198"/>
    <x v="0"/>
    <n v="3"/>
    <n v="646.79"/>
    <s v="447 Main St"/>
    <x v="4"/>
    <x v="1"/>
    <s v="TRK10883354"/>
    <n v="5"/>
    <s v="WINTER15"/>
    <x v="4"/>
    <n v="1940.37"/>
  </r>
  <r>
    <s v="ORD201129"/>
    <s v="2023-06-11"/>
    <s v="C43911"/>
    <x v="3"/>
    <n v="4"/>
    <n v="418.71"/>
    <s v="239 Main St"/>
    <x v="4"/>
    <x v="4"/>
    <s v="TRK37495481"/>
    <n v="8"/>
    <s v="FREESHIP"/>
    <x v="0"/>
    <n v="1674.84"/>
  </r>
  <r>
    <s v="ORD201130"/>
    <s v="2025-02-16"/>
    <s v="C24347"/>
    <x v="5"/>
    <n v="2"/>
    <n v="323.45"/>
    <s v="533 Main St"/>
    <x v="2"/>
    <x v="2"/>
    <s v="TRK27233265"/>
    <n v="5"/>
    <s v="FREESHIP"/>
    <x v="0"/>
    <n v="646.9"/>
  </r>
  <r>
    <s v="ORD201131"/>
    <s v="2024-07-18"/>
    <s v="C21043"/>
    <x v="1"/>
    <n v="1"/>
    <n v="694.5"/>
    <s v="195 Main St"/>
    <x v="2"/>
    <x v="4"/>
    <s v="TRK41691086"/>
    <n v="3"/>
    <s v="WINTER15"/>
    <x v="3"/>
    <n v="694.5"/>
  </r>
  <r>
    <s v="ORD201132"/>
    <s v="2024-12-02"/>
    <s v="C58858"/>
    <x v="3"/>
    <n v="2"/>
    <n v="337.32"/>
    <s v="948 Main St"/>
    <x v="2"/>
    <x v="1"/>
    <s v="TRK30406357"/>
    <n v="4"/>
    <s v="SAVE10"/>
    <x v="2"/>
    <n v="674.64"/>
  </r>
  <r>
    <s v="ORD201133"/>
    <s v="2024-04-09"/>
    <s v="C20670"/>
    <x v="4"/>
    <n v="2"/>
    <n v="467.91"/>
    <s v="432 Main St"/>
    <x v="3"/>
    <x v="2"/>
    <s v="TRK76731303"/>
    <n v="5"/>
    <s v="WINTER15"/>
    <x v="3"/>
    <n v="935.82"/>
  </r>
  <r>
    <s v="ORD201134"/>
    <s v="2024-06-08"/>
    <s v="C90993"/>
    <x v="6"/>
    <n v="4"/>
    <n v="38.28"/>
    <s v="950 Main St"/>
    <x v="0"/>
    <x v="1"/>
    <s v="TRK53964711"/>
    <n v="4"/>
    <s v="WINTER15"/>
    <x v="3"/>
    <n v="153.12"/>
  </r>
  <r>
    <s v="ORD201135"/>
    <s v="2023-12-28"/>
    <s v="C11473"/>
    <x v="4"/>
    <n v="2"/>
    <n v="73.41"/>
    <s v="562 Main St"/>
    <x v="1"/>
    <x v="0"/>
    <s v="TRK97793275"/>
    <n v="2"/>
    <s v="SAVE10"/>
    <x v="4"/>
    <n v="146.82"/>
  </r>
  <r>
    <s v="ORD201136"/>
    <s v="2023-09-24"/>
    <s v="C71899"/>
    <x v="2"/>
    <n v="3"/>
    <n v="668.33"/>
    <s v="799 Main St"/>
    <x v="3"/>
    <x v="4"/>
    <s v="TRK34856025"/>
    <n v="4"/>
    <s v="WINTER15"/>
    <x v="3"/>
    <n v="2004.99"/>
  </r>
  <r>
    <s v="ORD201137"/>
    <s v="2024-07-29"/>
    <s v="C48577"/>
    <x v="4"/>
    <n v="4"/>
    <n v="410.21"/>
    <s v="841 Main St"/>
    <x v="4"/>
    <x v="4"/>
    <s v="TRK59911645"/>
    <n v="5"/>
    <s v="WINTER15"/>
    <x v="0"/>
    <n v="1640.84"/>
  </r>
  <r>
    <s v="ORD201138"/>
    <s v="2023-12-18"/>
    <s v="C13100"/>
    <x v="6"/>
    <n v="4"/>
    <n v="294.41000000000003"/>
    <s v="188 Main St"/>
    <x v="0"/>
    <x v="4"/>
    <s v="TRK55565668"/>
    <n v="4"/>
    <s v="None"/>
    <x v="0"/>
    <n v="1177.6400000000001"/>
  </r>
  <r>
    <s v="ORD201139"/>
    <s v="2025-03-01"/>
    <s v="C70659"/>
    <x v="3"/>
    <n v="3"/>
    <n v="501.82"/>
    <s v="568 Main St"/>
    <x v="3"/>
    <x v="1"/>
    <s v="TRK28290825"/>
    <n v="4"/>
    <s v="FREESHIP"/>
    <x v="2"/>
    <n v="1505.46"/>
  </r>
  <r>
    <s v="ORD201140"/>
    <s v="2024-06-24"/>
    <s v="C49838"/>
    <x v="4"/>
    <n v="2"/>
    <n v="552.83000000000004"/>
    <s v="904 Main St"/>
    <x v="2"/>
    <x v="1"/>
    <s v="TRK38297718"/>
    <n v="3"/>
    <s v="None"/>
    <x v="1"/>
    <n v="1105.6600000000001"/>
  </r>
  <r>
    <s v="ORD201141"/>
    <s v="2025-02-16"/>
    <s v="C11998"/>
    <x v="3"/>
    <n v="3"/>
    <n v="498.66"/>
    <s v="382 Main St"/>
    <x v="4"/>
    <x v="1"/>
    <s v="TRK26707221"/>
    <n v="6"/>
    <s v="None"/>
    <x v="2"/>
    <n v="1495.98"/>
  </r>
  <r>
    <s v="ORD201142"/>
    <s v="2024-08-23"/>
    <s v="C23405"/>
    <x v="1"/>
    <n v="4"/>
    <n v="695.1"/>
    <s v="484 Main St"/>
    <x v="0"/>
    <x v="2"/>
    <s v="TRK83678708"/>
    <n v="8"/>
    <s v="None"/>
    <x v="2"/>
    <n v="2780.4"/>
  </r>
  <r>
    <s v="ORD201143"/>
    <s v="2023-04-03"/>
    <s v="C41132"/>
    <x v="3"/>
    <n v="1"/>
    <n v="381.61"/>
    <s v="114 Main St"/>
    <x v="0"/>
    <x v="4"/>
    <s v="TRK51040137"/>
    <n v="5"/>
    <s v="None"/>
    <x v="2"/>
    <n v="381.61"/>
  </r>
  <r>
    <s v="ORD201144"/>
    <s v="2023-02-16"/>
    <s v="C88463"/>
    <x v="6"/>
    <n v="5"/>
    <n v="507.94"/>
    <s v="292 Main St"/>
    <x v="1"/>
    <x v="1"/>
    <s v="TRK88749996"/>
    <n v="9"/>
    <s v="None"/>
    <x v="3"/>
    <n v="2539.6999999999998"/>
  </r>
  <r>
    <s v="ORD201145"/>
    <s v="2025-05-12"/>
    <s v="C28152"/>
    <x v="6"/>
    <n v="3"/>
    <n v="571.53"/>
    <s v="821 Main St"/>
    <x v="0"/>
    <x v="3"/>
    <s v="TRK59642814"/>
    <n v="6"/>
    <s v="FREESHIP"/>
    <x v="3"/>
    <n v="1714.59"/>
  </r>
  <r>
    <s v="ORD201146"/>
    <s v="2024-10-03"/>
    <s v="C36383"/>
    <x v="0"/>
    <n v="5"/>
    <n v="421.44"/>
    <s v="286 Main St"/>
    <x v="4"/>
    <x v="4"/>
    <s v="TRK93336357"/>
    <n v="5"/>
    <s v="SAVE10"/>
    <x v="0"/>
    <n v="2107.1999999999998"/>
  </r>
  <r>
    <s v="ORD201147"/>
    <s v="2025-01-02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s v="2024-06-25"/>
    <s v="C54886"/>
    <x v="1"/>
    <n v="1"/>
    <n v="355.15"/>
    <s v="442 Main St"/>
    <x v="4"/>
    <x v="2"/>
    <s v="TRK66241930"/>
    <n v="2"/>
    <s v="SAVE10"/>
    <x v="2"/>
    <n v="355.15"/>
  </r>
  <r>
    <s v="ORD201149"/>
    <s v="2024-07-25"/>
    <s v="C27305"/>
    <x v="3"/>
    <n v="2"/>
    <n v="695.29"/>
    <s v="957 Main St"/>
    <x v="2"/>
    <x v="4"/>
    <s v="TRK28789916"/>
    <n v="6"/>
    <s v="FREESHIP"/>
    <x v="0"/>
    <n v="1390.58"/>
  </r>
  <r>
    <s v="ORD201150"/>
    <s v="2023-02-2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s v="2023-01-29"/>
    <s v="C94381"/>
    <x v="3"/>
    <n v="2"/>
    <n v="608.04"/>
    <s v="962 Main St"/>
    <x v="4"/>
    <x v="1"/>
    <s v="TRK69804304"/>
    <n v="4"/>
    <s v="None"/>
    <x v="4"/>
    <n v="1216.08"/>
  </r>
  <r>
    <s v="ORD201152"/>
    <s v="2023-11-09"/>
    <s v="C25162"/>
    <x v="2"/>
    <n v="2"/>
    <n v="344.18"/>
    <s v="533 Main St"/>
    <x v="2"/>
    <x v="0"/>
    <s v="TRK42183078"/>
    <n v="7"/>
    <s v="None"/>
    <x v="1"/>
    <n v="688.36"/>
  </r>
  <r>
    <s v="ORD201153"/>
    <s v="2024-12-16"/>
    <s v="C98317"/>
    <x v="0"/>
    <n v="4"/>
    <n v="696.71"/>
    <s v="276 Main St"/>
    <x v="0"/>
    <x v="0"/>
    <s v="TRK37172138"/>
    <n v="4"/>
    <s v="None"/>
    <x v="0"/>
    <n v="2786.84"/>
  </r>
  <r>
    <s v="ORD201154"/>
    <s v="2025-06-11"/>
    <s v="C53631"/>
    <x v="0"/>
    <n v="3"/>
    <n v="198.63"/>
    <s v="593 Main St"/>
    <x v="4"/>
    <x v="4"/>
    <s v="TRK67589167"/>
    <n v="8"/>
    <s v="SAVE10"/>
    <x v="0"/>
    <n v="595.89"/>
  </r>
  <r>
    <s v="ORD201155"/>
    <s v="2023-08-13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s v="2023-07-19"/>
    <s v="C20512"/>
    <x v="5"/>
    <n v="4"/>
    <n v="690.78"/>
    <s v="980 Main St"/>
    <x v="2"/>
    <x v="0"/>
    <s v="TRK98234737"/>
    <n v="9"/>
    <s v="None"/>
    <x v="1"/>
    <n v="2763.12"/>
  </r>
  <r>
    <s v="ORD201157"/>
    <s v="2024-05-29"/>
    <s v="C25841"/>
    <x v="0"/>
    <n v="3"/>
    <n v="301.55"/>
    <s v="242 Main St"/>
    <x v="0"/>
    <x v="3"/>
    <s v="TRK21451375"/>
    <n v="5"/>
    <s v="FREESHIP"/>
    <x v="4"/>
    <n v="904.65"/>
  </r>
  <r>
    <s v="ORD201158"/>
    <s v="2023-04-20"/>
    <s v="C82781"/>
    <x v="0"/>
    <n v="4"/>
    <n v="27.42"/>
    <s v="661 Main St"/>
    <x v="0"/>
    <x v="4"/>
    <s v="TRK20605418"/>
    <n v="4"/>
    <s v="SAVE10"/>
    <x v="1"/>
    <n v="109.68"/>
  </r>
  <r>
    <s v="ORD201159"/>
    <s v="2024-02-23"/>
    <s v="C66112"/>
    <x v="6"/>
    <n v="4"/>
    <n v="466.7"/>
    <s v="874 Main St"/>
    <x v="0"/>
    <x v="2"/>
    <s v="TRK60955607"/>
    <n v="8"/>
    <s v="None"/>
    <x v="0"/>
    <n v="1866.8"/>
  </r>
  <r>
    <s v="ORD201160"/>
    <s v="2024-09-04"/>
    <s v="C40466"/>
    <x v="6"/>
    <n v="1"/>
    <n v="541.64"/>
    <s v="449 Main St"/>
    <x v="0"/>
    <x v="0"/>
    <s v="TRK70255168"/>
    <n v="5"/>
    <s v="SAVE10"/>
    <x v="2"/>
    <n v="541.64"/>
  </r>
  <r>
    <s v="ORD201161"/>
    <s v="2023-10-16"/>
    <s v="C32570"/>
    <x v="1"/>
    <n v="1"/>
    <n v="11.39"/>
    <s v="826 Main St"/>
    <x v="4"/>
    <x v="1"/>
    <s v="TRK35969968"/>
    <n v="6"/>
    <s v="WINTER15"/>
    <x v="2"/>
    <n v="11.39"/>
  </r>
  <r>
    <s v="ORD201162"/>
    <s v="2025-03-11"/>
    <s v="C29405"/>
    <x v="1"/>
    <n v="2"/>
    <n v="224.37"/>
    <s v="251 Main St"/>
    <x v="0"/>
    <x v="3"/>
    <s v="TRK33125798"/>
    <n v="3"/>
    <s v="WINTER15"/>
    <x v="1"/>
    <n v="448.74"/>
  </r>
  <r>
    <s v="ORD201163"/>
    <s v="2024-06-11"/>
    <s v="C30643"/>
    <x v="5"/>
    <n v="3"/>
    <n v="306.29000000000002"/>
    <s v="966 Main St"/>
    <x v="2"/>
    <x v="2"/>
    <s v="TRK19477485"/>
    <n v="7"/>
    <s v="WINTER15"/>
    <x v="0"/>
    <n v="918.87"/>
  </r>
  <r>
    <s v="ORD201164"/>
    <s v="2024-01-08"/>
    <s v="C65890"/>
    <x v="2"/>
    <n v="5"/>
    <n v="315.57"/>
    <s v="340 Main St"/>
    <x v="0"/>
    <x v="3"/>
    <s v="TRK64530489"/>
    <n v="6"/>
    <s v="WINTER15"/>
    <x v="2"/>
    <n v="1577.85"/>
  </r>
  <r>
    <s v="ORD201165"/>
    <s v="2023-07-14"/>
    <s v="C36992"/>
    <x v="3"/>
    <n v="3"/>
    <n v="223.79"/>
    <s v="617 Main St"/>
    <x v="0"/>
    <x v="4"/>
    <s v="TRK63460217"/>
    <n v="3"/>
    <s v="None"/>
    <x v="4"/>
    <n v="671.37"/>
  </r>
  <r>
    <s v="ORD201166"/>
    <s v="2023-07-31"/>
    <s v="C95568"/>
    <x v="3"/>
    <n v="3"/>
    <n v="324.47000000000003"/>
    <s v="971 Main St"/>
    <x v="4"/>
    <x v="3"/>
    <s v="TRK37075292"/>
    <n v="4"/>
    <s v="WINTER15"/>
    <x v="2"/>
    <n v="973.41"/>
  </r>
  <r>
    <s v="ORD201167"/>
    <s v="2023-10-17"/>
    <s v="C17966"/>
    <x v="4"/>
    <n v="2"/>
    <n v="92.87"/>
    <s v="360 Main St"/>
    <x v="2"/>
    <x v="4"/>
    <s v="TRK31169396"/>
    <n v="5"/>
    <s v="FREESHIP"/>
    <x v="3"/>
    <n v="185.74"/>
  </r>
  <r>
    <s v="ORD201168"/>
    <s v="2023-04-08"/>
    <s v="C89559"/>
    <x v="5"/>
    <n v="2"/>
    <n v="331.42"/>
    <s v="297 Main St"/>
    <x v="2"/>
    <x v="3"/>
    <s v="TRK82838108"/>
    <n v="6"/>
    <s v="WINTER15"/>
    <x v="4"/>
    <n v="662.84"/>
  </r>
  <r>
    <s v="ORD201169"/>
    <s v="2024-12-23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s v="2023-08-03"/>
    <s v="C94257"/>
    <x v="4"/>
    <n v="2"/>
    <n v="697.19"/>
    <s v="762 Main St"/>
    <x v="4"/>
    <x v="2"/>
    <s v="TRK40220743"/>
    <n v="7"/>
    <s v="FREESHIP"/>
    <x v="2"/>
    <n v="1394.38"/>
  </r>
  <r>
    <s v="ORD201171"/>
    <s v="2023-08-28"/>
    <s v="C39911"/>
    <x v="1"/>
    <n v="4"/>
    <n v="518.4"/>
    <s v="699 Main St"/>
    <x v="2"/>
    <x v="3"/>
    <s v="TRK80431998"/>
    <n v="7"/>
    <s v="SAVE10"/>
    <x v="3"/>
    <n v="2073.6"/>
  </r>
  <r>
    <s v="ORD201172"/>
    <s v="2025-02-04"/>
    <s v="C28828"/>
    <x v="6"/>
    <n v="3"/>
    <n v="131.96"/>
    <s v="745 Main St"/>
    <x v="2"/>
    <x v="4"/>
    <s v="TRK32550359"/>
    <n v="8"/>
    <s v="None"/>
    <x v="0"/>
    <n v="395.88"/>
  </r>
  <r>
    <s v="ORD201173"/>
    <s v="2024-10-04"/>
    <s v="C82921"/>
    <x v="0"/>
    <n v="1"/>
    <n v="208.36"/>
    <s v="703 Main St"/>
    <x v="1"/>
    <x v="0"/>
    <s v="TRK31079911"/>
    <n v="4"/>
    <s v="FREESHIP"/>
    <x v="2"/>
    <n v="208.36"/>
  </r>
  <r>
    <s v="ORD201174"/>
    <s v="2023-11-27"/>
    <s v="C50159"/>
    <x v="4"/>
    <n v="3"/>
    <n v="222.34"/>
    <s v="105 Main St"/>
    <x v="2"/>
    <x v="2"/>
    <s v="TRK53737452"/>
    <n v="5"/>
    <s v="WINTER15"/>
    <x v="2"/>
    <n v="667.02"/>
  </r>
  <r>
    <s v="ORD201175"/>
    <s v="2024-09-10"/>
    <s v="C62512"/>
    <x v="4"/>
    <n v="3"/>
    <n v="91.74"/>
    <s v="368 Main St"/>
    <x v="0"/>
    <x v="2"/>
    <s v="TRK24139954"/>
    <n v="8"/>
    <s v="FREESHIP"/>
    <x v="1"/>
    <n v="275.22000000000003"/>
  </r>
  <r>
    <s v="ORD201176"/>
    <s v="2023-08-13"/>
    <s v="C39260"/>
    <x v="2"/>
    <n v="2"/>
    <n v="213.83"/>
    <s v="374 Main St"/>
    <x v="0"/>
    <x v="1"/>
    <s v="TRK55587314"/>
    <n v="2"/>
    <s v="WINTER15"/>
    <x v="2"/>
    <n v="427.66"/>
  </r>
  <r>
    <s v="ORD201177"/>
    <s v="2023-04-27"/>
    <s v="C23917"/>
    <x v="4"/>
    <n v="1"/>
    <n v="127.55"/>
    <s v="433 Main St"/>
    <x v="4"/>
    <x v="0"/>
    <s v="TRK44434536"/>
    <n v="3"/>
    <s v="SAVE10"/>
    <x v="1"/>
    <n v="127.55"/>
  </r>
  <r>
    <s v="ORD201178"/>
    <s v="2024-09-08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s v="2023-01-08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s v="2023-10-31"/>
    <s v="C42235"/>
    <x v="3"/>
    <n v="4"/>
    <n v="298.36"/>
    <s v="722 Main St"/>
    <x v="0"/>
    <x v="4"/>
    <s v="TRK49379882"/>
    <n v="8"/>
    <s v="FREESHIP"/>
    <x v="4"/>
    <n v="1193.44"/>
  </r>
  <r>
    <s v="ORD201181"/>
    <s v="2023-07-27"/>
    <s v="C70246"/>
    <x v="6"/>
    <n v="3"/>
    <n v="158.74"/>
    <s v="293 Main St"/>
    <x v="1"/>
    <x v="4"/>
    <s v="TRK45708320"/>
    <n v="7"/>
    <s v="FREESHIP"/>
    <x v="0"/>
    <n v="476.22"/>
  </r>
  <r>
    <s v="ORD201182"/>
    <s v="2025-06-14"/>
    <s v="C18473"/>
    <x v="3"/>
    <n v="2"/>
    <n v="420.29"/>
    <s v="700 Main St"/>
    <x v="3"/>
    <x v="2"/>
    <s v="TRK97834202"/>
    <n v="3"/>
    <s v="SAVE10"/>
    <x v="4"/>
    <n v="840.58"/>
  </r>
  <r>
    <s v="ORD201183"/>
    <s v="2023-04-05"/>
    <s v="C12607"/>
    <x v="6"/>
    <n v="1"/>
    <n v="281.52"/>
    <s v="460 Main St"/>
    <x v="3"/>
    <x v="0"/>
    <s v="TRK83653396"/>
    <n v="6"/>
    <s v="WINTER15"/>
    <x v="1"/>
    <n v="281.52"/>
  </r>
  <r>
    <s v="ORD201184"/>
    <s v="2023-09-27"/>
    <s v="C10222"/>
    <x v="5"/>
    <n v="1"/>
    <n v="204.08"/>
    <s v="979 Main St"/>
    <x v="3"/>
    <x v="2"/>
    <s v="TRK86297895"/>
    <n v="4"/>
    <s v="None"/>
    <x v="4"/>
    <n v="204.08"/>
  </r>
  <r>
    <s v="ORD201185"/>
    <s v="2024-07-08"/>
    <s v="C77344"/>
    <x v="3"/>
    <n v="1"/>
    <n v="343.31"/>
    <s v="777 Main St"/>
    <x v="3"/>
    <x v="2"/>
    <s v="TRK20605055"/>
    <n v="6"/>
    <s v="SAVE10"/>
    <x v="4"/>
    <n v="343.31"/>
  </r>
  <r>
    <s v="ORD201186"/>
    <s v="2023-11-18"/>
    <s v="C65497"/>
    <x v="0"/>
    <n v="1"/>
    <n v="163.32"/>
    <s v="676 Main St"/>
    <x v="4"/>
    <x v="0"/>
    <s v="TRK83702761"/>
    <n v="6"/>
    <s v="WINTER15"/>
    <x v="3"/>
    <n v="163.32"/>
  </r>
  <r>
    <s v="ORD201187"/>
    <s v="2024-03-13"/>
    <s v="C26340"/>
    <x v="6"/>
    <n v="2"/>
    <n v="184.6"/>
    <s v="562 Main St"/>
    <x v="3"/>
    <x v="3"/>
    <s v="TRK59962703"/>
    <n v="7"/>
    <s v="WINTER15"/>
    <x v="2"/>
    <n v="369.2"/>
  </r>
  <r>
    <s v="ORD201188"/>
    <s v="2023-10-07"/>
    <s v="C75619"/>
    <x v="4"/>
    <n v="2"/>
    <n v="371.29"/>
    <s v="924 Main St"/>
    <x v="3"/>
    <x v="0"/>
    <s v="TRK23086941"/>
    <n v="5"/>
    <s v="WINTER15"/>
    <x v="3"/>
    <n v="742.58"/>
  </r>
  <r>
    <s v="ORD201189"/>
    <s v="2024-08-17"/>
    <s v="C96136"/>
    <x v="2"/>
    <n v="5"/>
    <n v="389.22"/>
    <s v="149 Main St"/>
    <x v="4"/>
    <x v="1"/>
    <s v="TRK60856682"/>
    <n v="7"/>
    <s v="None"/>
    <x v="1"/>
    <n v="1946.1"/>
  </r>
  <r>
    <s v="ORD201190"/>
    <s v="2025-06-08"/>
    <s v="C46886"/>
    <x v="6"/>
    <n v="3"/>
    <n v="616.39"/>
    <s v="754 Main St"/>
    <x v="2"/>
    <x v="0"/>
    <s v="TRK82791646"/>
    <n v="6"/>
    <s v="FREESHIP"/>
    <x v="0"/>
    <n v="1849.17"/>
  </r>
  <r>
    <s v="ORD201191"/>
    <s v="2025-02-10"/>
    <s v="C44148"/>
    <x v="6"/>
    <n v="4"/>
    <n v="376.43"/>
    <s v="809 Main St"/>
    <x v="3"/>
    <x v="4"/>
    <s v="TRK67872709"/>
    <n v="5"/>
    <s v="WINTER15"/>
    <x v="0"/>
    <n v="1505.72"/>
  </r>
  <r>
    <s v="ORD201192"/>
    <s v="2024-02-28"/>
    <s v="C72007"/>
    <x v="3"/>
    <n v="3"/>
    <n v="432.85"/>
    <s v="999 Main St"/>
    <x v="1"/>
    <x v="4"/>
    <s v="TRK16240916"/>
    <n v="4"/>
    <s v="None"/>
    <x v="0"/>
    <n v="1298.55"/>
  </r>
  <r>
    <s v="ORD201193"/>
    <s v="2025-06-16"/>
    <s v="C45104"/>
    <x v="2"/>
    <n v="1"/>
    <n v="687.89"/>
    <s v="348 Main St"/>
    <x v="4"/>
    <x v="2"/>
    <s v="TRK38559816"/>
    <n v="1"/>
    <s v="FREESHIP"/>
    <x v="2"/>
    <n v="687.89"/>
  </r>
  <r>
    <s v="ORD201194"/>
    <s v="2023-11-19"/>
    <s v="C29885"/>
    <x v="4"/>
    <n v="3"/>
    <n v="189.44"/>
    <s v="725 Main St"/>
    <x v="4"/>
    <x v="4"/>
    <s v="TRK62067865"/>
    <n v="4"/>
    <s v="FREESHIP"/>
    <x v="2"/>
    <n v="568.32000000000005"/>
  </r>
  <r>
    <s v="ORD201195"/>
    <s v="2024-06-20"/>
    <s v="C21126"/>
    <x v="6"/>
    <n v="1"/>
    <n v="107.04"/>
    <s v="392 Main St"/>
    <x v="2"/>
    <x v="1"/>
    <s v="TRK38009181"/>
    <n v="6"/>
    <s v="FREESHIP"/>
    <x v="4"/>
    <n v="107.04"/>
  </r>
  <r>
    <s v="ORD201196"/>
    <s v="2024-03-04"/>
    <s v="C20095"/>
    <x v="0"/>
    <n v="2"/>
    <n v="662.53"/>
    <s v="778 Main St"/>
    <x v="1"/>
    <x v="1"/>
    <s v="TRK69207593"/>
    <n v="5"/>
    <s v="None"/>
    <x v="3"/>
    <n v="1325.06"/>
  </r>
  <r>
    <s v="ORD201197"/>
    <s v="2023-07-13"/>
    <s v="C79674"/>
    <x v="2"/>
    <n v="2"/>
    <n v="436.84"/>
    <s v="275 Main St"/>
    <x v="1"/>
    <x v="3"/>
    <s v="TRK88039356"/>
    <n v="2"/>
    <s v="FREESHIP"/>
    <x v="0"/>
    <n v="873.68"/>
  </r>
  <r>
    <s v="ORD201198"/>
    <s v="2024-08-22"/>
    <s v="C64753"/>
    <x v="3"/>
    <n v="4"/>
    <n v="262.52"/>
    <s v="509 Main St"/>
    <x v="0"/>
    <x v="1"/>
    <s v="TRK71683331"/>
    <n v="4"/>
    <s v="WINTER15"/>
    <x v="0"/>
    <n v="1050.08"/>
  </r>
  <r>
    <s v="ORD201199"/>
    <s v="2023-06-11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479BA-E8C4-484A-9536-90E0B29D51BA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15:F21" firstHeaderRow="1" firstDataRow="1" firstDataCol="1"/>
  <pivotFields count="14">
    <pivotField showAll="0"/>
    <pivotField showAll="0"/>
    <pivotField dataField="1"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5614-FCD4-43CA-861E-1BC602BC83EC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4:G10" firstHeaderRow="0" firstDataRow="1" firstDataCol="1"/>
  <pivotFields count="14">
    <pivotField dataField="1"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0E5FD9-C2A7-483C-B93B-37C90C8D2F4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3:B19" firstHeaderRow="1" firstDataRow="1" firstDataCol="1"/>
  <pivotFields count="14">
    <pivotField dataField="1" showAll="0"/>
    <pivotField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5AA62B-625F-43C8-AA68-11B3D32C6937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C9" firstHeaderRow="0" firstDataRow="1" firstDataCol="1"/>
  <pivotFields count="14">
    <pivotField showAll="0"/>
    <pivotField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4DA04B-1267-4A31-A6DC-B07C3AD3B1C7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458B4-70A1-4453-BCBE-0F8C29270FBD}" name="Sheet1" displayName="Sheet1" ref="A1:N1201" tableType="queryTable" totalsRowShown="0">
  <autoFilter ref="A1:N1201" xr:uid="{AEF458B4-70A1-4453-BCBE-0F8C29270FBD}"/>
  <tableColumns count="14">
    <tableColumn id="1" xr3:uid="{A725AA8C-2A3E-41FC-814F-9F563EC96FF9}" uniqueName="1" name="OrderID" queryTableFieldId="1"/>
    <tableColumn id="2" xr3:uid="{A252BEF6-91D6-4C29-913A-C7843720E986}" uniqueName="2" name="Date" queryTableFieldId="2"/>
    <tableColumn id="3" xr3:uid="{13115994-24D3-4843-9865-2CA103D4B066}" uniqueName="3" name="CustomerID" queryTableFieldId="3"/>
    <tableColumn id="4" xr3:uid="{4446903A-F51C-4224-B3DF-34537883B41E}" uniqueName="4" name="Product" queryTableFieldId="4" dataDxfId="3"/>
    <tableColumn id="5" xr3:uid="{F9D82CAE-4549-4DF8-899D-C4D7EE055C81}" uniqueName="5" name="Quantity" queryTableFieldId="5"/>
    <tableColumn id="6" xr3:uid="{5EDFA09F-4663-4226-BDF4-59B40B203940}" uniqueName="6" name="UnitPrice" queryTableFieldId="6"/>
    <tableColumn id="7" xr3:uid="{121D2368-4356-4C3E-931E-13F34A41DBCE}" uniqueName="7" name="ShippingAddress" queryTableFieldId="7"/>
    <tableColumn id="8" xr3:uid="{C8D7C263-8EAA-4F35-B4C9-B180FE4483D8}" uniqueName="8" name="PaymentMethod" queryTableFieldId="8" dataDxfId="2"/>
    <tableColumn id="9" xr3:uid="{BEE1493A-462A-48A2-878B-BBBF4C91773B}" uniqueName="9" name="OrderStatus" queryTableFieldId="9" dataDxfId="1"/>
    <tableColumn id="10" xr3:uid="{2DED2941-8B0F-47D2-98FF-130E2393223C}" uniqueName="10" name="TrackingNumber" queryTableFieldId="10"/>
    <tableColumn id="11" xr3:uid="{B806331A-8817-4B99-8FD4-99367C6BBF2E}" uniqueName="11" name="ItemsInCart" queryTableFieldId="11"/>
    <tableColumn id="12" xr3:uid="{66215776-DF92-4571-BA5C-226FC8BFA245}" uniqueName="12" name="CouponCode" queryTableFieldId="12"/>
    <tableColumn id="13" xr3:uid="{FA59EB82-0994-4A87-B384-11994A89D767}" uniqueName="13" name="ReferralSource" queryTableFieldId="13" dataDxfId="0"/>
    <tableColumn id="14" xr3:uid="{1CB3FCBE-0749-4DCA-A42B-B85713BF0CC3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B2" sqref="A1:B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E3E9-1072-43E5-97D4-BD79CBAB8686}">
  <dimension ref="A1:N1201"/>
  <sheetViews>
    <sheetView workbookViewId="0">
      <selection activeCell="O1" sqref="O1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4283</v>
      </c>
      <c r="C2" t="s">
        <v>1214</v>
      </c>
      <c r="D2" s="3" t="s">
        <v>2403</v>
      </c>
      <c r="E2">
        <v>5</v>
      </c>
      <c r="F2">
        <v>570.62</v>
      </c>
      <c r="G2" t="s">
        <v>2410</v>
      </c>
      <c r="H2" s="3" t="s">
        <v>3065</v>
      </c>
      <c r="I2" s="3" t="s">
        <v>3070</v>
      </c>
      <c r="J2" t="s">
        <v>3075</v>
      </c>
      <c r="K2">
        <v>7</v>
      </c>
      <c r="L2" t="s">
        <v>4275</v>
      </c>
      <c r="M2" s="3" t="s">
        <v>4278</v>
      </c>
      <c r="N2">
        <v>2853.1</v>
      </c>
    </row>
    <row r="3" spans="1:14" x14ac:dyDescent="0.35">
      <c r="A3" t="s">
        <v>15</v>
      </c>
      <c r="B3" t="s">
        <v>4284</v>
      </c>
      <c r="C3" t="s">
        <v>1215</v>
      </c>
      <c r="D3" s="3" t="s">
        <v>2404</v>
      </c>
      <c r="E3">
        <v>2</v>
      </c>
      <c r="F3">
        <v>151.35</v>
      </c>
      <c r="G3" t="s">
        <v>2411</v>
      </c>
      <c r="H3" s="3" t="s">
        <v>3066</v>
      </c>
      <c r="I3" s="3" t="s">
        <v>3070</v>
      </c>
      <c r="J3" t="s">
        <v>3076</v>
      </c>
      <c r="K3">
        <v>3</v>
      </c>
      <c r="L3" t="s">
        <v>4275</v>
      </c>
      <c r="M3" s="3" t="s">
        <v>4279</v>
      </c>
      <c r="N3">
        <v>302.7</v>
      </c>
    </row>
    <row r="4" spans="1:14" x14ac:dyDescent="0.35">
      <c r="A4" t="s">
        <v>16</v>
      </c>
      <c r="B4" t="s">
        <v>4285</v>
      </c>
      <c r="C4" t="s">
        <v>1216</v>
      </c>
      <c r="D4" s="3" t="s">
        <v>2405</v>
      </c>
      <c r="E4">
        <v>5</v>
      </c>
      <c r="F4">
        <v>550.67999999999995</v>
      </c>
      <c r="G4" t="s">
        <v>2412</v>
      </c>
      <c r="H4" s="3" t="s">
        <v>3067</v>
      </c>
      <c r="I4" s="3" t="s">
        <v>3071</v>
      </c>
      <c r="J4" t="s">
        <v>3077</v>
      </c>
      <c r="K4">
        <v>8</v>
      </c>
      <c r="L4" t="s">
        <v>4276</v>
      </c>
      <c r="M4" s="3" t="s">
        <v>4280</v>
      </c>
      <c r="N4">
        <v>2753.4</v>
      </c>
    </row>
    <row r="5" spans="1:14" x14ac:dyDescent="0.35">
      <c r="A5" t="s">
        <v>17</v>
      </c>
      <c r="B5" t="s">
        <v>4286</v>
      </c>
      <c r="C5" t="s">
        <v>1217</v>
      </c>
      <c r="D5" s="3" t="s">
        <v>2406</v>
      </c>
      <c r="E5">
        <v>1</v>
      </c>
      <c r="F5">
        <v>273.19</v>
      </c>
      <c r="G5" t="s">
        <v>2413</v>
      </c>
      <c r="H5" s="3" t="s">
        <v>3065</v>
      </c>
      <c r="I5" s="3" t="s">
        <v>3072</v>
      </c>
      <c r="J5" t="s">
        <v>3078</v>
      </c>
      <c r="K5">
        <v>5</v>
      </c>
      <c r="L5" t="s">
        <v>4275</v>
      </c>
      <c r="M5" s="3" t="s">
        <v>4281</v>
      </c>
      <c r="N5">
        <v>273.19</v>
      </c>
    </row>
    <row r="6" spans="1:14" x14ac:dyDescent="0.35">
      <c r="A6" t="s">
        <v>18</v>
      </c>
      <c r="B6" t="s">
        <v>4287</v>
      </c>
      <c r="C6" t="s">
        <v>1218</v>
      </c>
      <c r="D6" s="3" t="s">
        <v>2407</v>
      </c>
      <c r="E6">
        <v>4</v>
      </c>
      <c r="F6">
        <v>626.01</v>
      </c>
      <c r="G6" t="s">
        <v>2414</v>
      </c>
      <c r="H6" s="3" t="s">
        <v>3066</v>
      </c>
      <c r="I6" s="3" t="s">
        <v>3073</v>
      </c>
      <c r="J6" t="s">
        <v>3079</v>
      </c>
      <c r="K6">
        <v>8</v>
      </c>
      <c r="L6" t="s">
        <v>4275</v>
      </c>
      <c r="M6" s="3" t="s">
        <v>4280</v>
      </c>
      <c r="N6">
        <v>2504.04</v>
      </c>
    </row>
    <row r="7" spans="1:14" x14ac:dyDescent="0.35">
      <c r="A7" t="s">
        <v>19</v>
      </c>
      <c r="B7" t="s">
        <v>4288</v>
      </c>
      <c r="C7" t="s">
        <v>1219</v>
      </c>
      <c r="D7" s="3" t="s">
        <v>2404</v>
      </c>
      <c r="E7">
        <v>2</v>
      </c>
      <c r="F7">
        <v>245.86</v>
      </c>
      <c r="G7" t="s">
        <v>2415</v>
      </c>
      <c r="H7" s="3" t="s">
        <v>3067</v>
      </c>
      <c r="I7" s="3" t="s">
        <v>3070</v>
      </c>
      <c r="J7" t="s">
        <v>3080</v>
      </c>
      <c r="K7">
        <v>4</v>
      </c>
      <c r="L7" t="s">
        <v>4275</v>
      </c>
      <c r="M7" s="3" t="s">
        <v>4278</v>
      </c>
      <c r="N7">
        <v>491.72</v>
      </c>
    </row>
    <row r="8" spans="1:14" x14ac:dyDescent="0.35">
      <c r="A8" t="s">
        <v>20</v>
      </c>
      <c r="B8" t="s">
        <v>4289</v>
      </c>
      <c r="C8" t="s">
        <v>1220</v>
      </c>
      <c r="D8" s="3" t="s">
        <v>2408</v>
      </c>
      <c r="E8">
        <v>1</v>
      </c>
      <c r="F8">
        <v>664.42</v>
      </c>
      <c r="G8" t="s">
        <v>2416</v>
      </c>
      <c r="H8" s="3" t="s">
        <v>3068</v>
      </c>
      <c r="I8" s="3" t="s">
        <v>3072</v>
      </c>
      <c r="J8" t="s">
        <v>3081</v>
      </c>
      <c r="K8">
        <v>6</v>
      </c>
      <c r="L8" t="s">
        <v>4275</v>
      </c>
      <c r="M8" s="3" t="s">
        <v>4281</v>
      </c>
      <c r="N8">
        <v>664.42</v>
      </c>
    </row>
    <row r="9" spans="1:14" x14ac:dyDescent="0.35">
      <c r="A9" t="s">
        <v>21</v>
      </c>
      <c r="B9" t="s">
        <v>4290</v>
      </c>
      <c r="C9" t="s">
        <v>1221</v>
      </c>
      <c r="D9" s="3" t="s">
        <v>2403</v>
      </c>
      <c r="E9">
        <v>5</v>
      </c>
      <c r="F9">
        <v>149.55000000000001</v>
      </c>
      <c r="G9" t="s">
        <v>2417</v>
      </c>
      <c r="H9" s="3" t="s">
        <v>3069</v>
      </c>
      <c r="I9" s="3" t="s">
        <v>3070</v>
      </c>
      <c r="J9" t="s">
        <v>3082</v>
      </c>
      <c r="K9">
        <v>9</v>
      </c>
      <c r="L9" t="s">
        <v>4276</v>
      </c>
      <c r="M9" s="3" t="s">
        <v>4281</v>
      </c>
      <c r="N9">
        <v>747.75</v>
      </c>
    </row>
    <row r="10" spans="1:14" x14ac:dyDescent="0.35">
      <c r="A10" t="s">
        <v>22</v>
      </c>
      <c r="B10" t="s">
        <v>4291</v>
      </c>
      <c r="C10" t="s">
        <v>1222</v>
      </c>
      <c r="D10" s="3" t="s">
        <v>2404</v>
      </c>
      <c r="E10">
        <v>2</v>
      </c>
      <c r="F10">
        <v>134.28</v>
      </c>
      <c r="G10" t="s">
        <v>2418</v>
      </c>
      <c r="H10" s="3" t="s">
        <v>3068</v>
      </c>
      <c r="I10" s="3" t="s">
        <v>3071</v>
      </c>
      <c r="J10" t="s">
        <v>3083</v>
      </c>
      <c r="K10">
        <v>2</v>
      </c>
      <c r="L10" t="s">
        <v>4292</v>
      </c>
      <c r="M10" s="3" t="s">
        <v>4280</v>
      </c>
      <c r="N10">
        <v>268.56</v>
      </c>
    </row>
    <row r="11" spans="1:14" x14ac:dyDescent="0.35">
      <c r="A11" t="s">
        <v>23</v>
      </c>
      <c r="B11" t="s">
        <v>4293</v>
      </c>
      <c r="C11" t="s">
        <v>1223</v>
      </c>
      <c r="D11" s="3" t="s">
        <v>2409</v>
      </c>
      <c r="E11">
        <v>4</v>
      </c>
      <c r="F11">
        <v>509.38</v>
      </c>
      <c r="G11" t="s">
        <v>2419</v>
      </c>
      <c r="H11" s="3" t="s">
        <v>3067</v>
      </c>
      <c r="I11" s="3" t="s">
        <v>3070</v>
      </c>
      <c r="J11" t="s">
        <v>3084</v>
      </c>
      <c r="K11">
        <v>6</v>
      </c>
      <c r="L11" t="s">
        <v>4275</v>
      </c>
      <c r="M11" s="3" t="s">
        <v>4282</v>
      </c>
      <c r="N11">
        <v>2037.52</v>
      </c>
    </row>
    <row r="12" spans="1:14" x14ac:dyDescent="0.35">
      <c r="A12" t="s">
        <v>24</v>
      </c>
      <c r="B12" t="s">
        <v>4294</v>
      </c>
      <c r="C12" t="s">
        <v>1224</v>
      </c>
      <c r="D12" s="3" t="s">
        <v>2405</v>
      </c>
      <c r="E12">
        <v>5</v>
      </c>
      <c r="F12">
        <v>625.97</v>
      </c>
      <c r="G12" t="s">
        <v>2420</v>
      </c>
      <c r="H12" s="3" t="s">
        <v>3067</v>
      </c>
      <c r="I12" s="3" t="s">
        <v>3072</v>
      </c>
      <c r="J12" t="s">
        <v>3085</v>
      </c>
      <c r="K12">
        <v>9</v>
      </c>
      <c r="L12" t="s">
        <v>4277</v>
      </c>
      <c r="M12" s="3" t="s">
        <v>4278</v>
      </c>
      <c r="N12">
        <v>3129.85</v>
      </c>
    </row>
    <row r="13" spans="1:14" x14ac:dyDescent="0.35">
      <c r="A13" t="s">
        <v>25</v>
      </c>
      <c r="B13" t="s">
        <v>4295</v>
      </c>
      <c r="C13" t="s">
        <v>1225</v>
      </c>
      <c r="D13" s="3" t="s">
        <v>2403</v>
      </c>
      <c r="E13">
        <v>3</v>
      </c>
      <c r="F13">
        <v>49.14</v>
      </c>
      <c r="G13" t="s">
        <v>2421</v>
      </c>
      <c r="H13" s="3" t="s">
        <v>3066</v>
      </c>
      <c r="I13" s="3" t="s">
        <v>3072</v>
      </c>
      <c r="J13" t="s">
        <v>3086</v>
      </c>
      <c r="K13">
        <v>7</v>
      </c>
      <c r="L13" t="s">
        <v>4275</v>
      </c>
      <c r="M13" s="3" t="s">
        <v>4280</v>
      </c>
      <c r="N13">
        <v>147.41999999999999</v>
      </c>
    </row>
    <row r="14" spans="1:14" x14ac:dyDescent="0.35">
      <c r="A14" t="s">
        <v>26</v>
      </c>
      <c r="B14" t="s">
        <v>4296</v>
      </c>
      <c r="C14" t="s">
        <v>1226</v>
      </c>
      <c r="D14" s="3" t="s">
        <v>2403</v>
      </c>
      <c r="E14">
        <v>2</v>
      </c>
      <c r="F14">
        <v>180.5</v>
      </c>
      <c r="G14" t="s">
        <v>2422</v>
      </c>
      <c r="H14" s="3" t="s">
        <v>3065</v>
      </c>
      <c r="I14" s="3" t="s">
        <v>3074</v>
      </c>
      <c r="J14" t="s">
        <v>3087</v>
      </c>
      <c r="K14">
        <v>6</v>
      </c>
      <c r="L14" t="s">
        <v>4276</v>
      </c>
      <c r="M14" s="3" t="s">
        <v>4279</v>
      </c>
      <c r="N14">
        <v>361</v>
      </c>
    </row>
    <row r="15" spans="1:14" x14ac:dyDescent="0.35">
      <c r="A15" t="s">
        <v>27</v>
      </c>
      <c r="B15" t="s">
        <v>4297</v>
      </c>
      <c r="C15" t="s">
        <v>1227</v>
      </c>
      <c r="D15" s="3" t="s">
        <v>2408</v>
      </c>
      <c r="E15">
        <v>3</v>
      </c>
      <c r="F15">
        <v>201.49</v>
      </c>
      <c r="G15" t="s">
        <v>2423</v>
      </c>
      <c r="H15" s="3" t="s">
        <v>3067</v>
      </c>
      <c r="I15" s="3" t="s">
        <v>3072</v>
      </c>
      <c r="J15" t="s">
        <v>3088</v>
      </c>
      <c r="K15">
        <v>4</v>
      </c>
      <c r="L15" t="s">
        <v>4276</v>
      </c>
      <c r="M15" s="3" t="s">
        <v>4281</v>
      </c>
      <c r="N15">
        <v>604.47</v>
      </c>
    </row>
    <row r="16" spans="1:14" x14ac:dyDescent="0.35">
      <c r="A16" t="s">
        <v>28</v>
      </c>
      <c r="B16" t="s">
        <v>4298</v>
      </c>
      <c r="C16" t="s">
        <v>1228</v>
      </c>
      <c r="D16" s="3" t="s">
        <v>2405</v>
      </c>
      <c r="E16">
        <v>2</v>
      </c>
      <c r="F16">
        <v>393.33</v>
      </c>
      <c r="G16" t="s">
        <v>2424</v>
      </c>
      <c r="H16" s="3" t="s">
        <v>3065</v>
      </c>
      <c r="I16" s="3" t="s">
        <v>3074</v>
      </c>
      <c r="J16" t="s">
        <v>3089</v>
      </c>
      <c r="K16">
        <v>3</v>
      </c>
      <c r="L16" t="s">
        <v>4275</v>
      </c>
      <c r="M16" s="3" t="s">
        <v>4278</v>
      </c>
      <c r="N16">
        <v>786.66</v>
      </c>
    </row>
    <row r="17" spans="1:14" x14ac:dyDescent="0.35">
      <c r="A17" t="s">
        <v>29</v>
      </c>
      <c r="B17" t="s">
        <v>4299</v>
      </c>
      <c r="C17" t="s">
        <v>1229</v>
      </c>
      <c r="D17" s="3" t="s">
        <v>2407</v>
      </c>
      <c r="E17">
        <v>1</v>
      </c>
      <c r="F17">
        <v>473.96</v>
      </c>
      <c r="G17" t="s">
        <v>2425</v>
      </c>
      <c r="H17" s="3" t="s">
        <v>3069</v>
      </c>
      <c r="I17" s="3" t="s">
        <v>3073</v>
      </c>
      <c r="J17" t="s">
        <v>3090</v>
      </c>
      <c r="K17">
        <v>3</v>
      </c>
      <c r="L17" t="s">
        <v>4292</v>
      </c>
      <c r="M17" s="3" t="s">
        <v>4282</v>
      </c>
      <c r="N17">
        <v>473.96</v>
      </c>
    </row>
    <row r="18" spans="1:14" x14ac:dyDescent="0.35">
      <c r="A18" t="s">
        <v>30</v>
      </c>
      <c r="B18" t="s">
        <v>4300</v>
      </c>
      <c r="C18" t="s">
        <v>1230</v>
      </c>
      <c r="D18" s="3" t="s">
        <v>2407</v>
      </c>
      <c r="E18">
        <v>2</v>
      </c>
      <c r="F18">
        <v>533.80999999999995</v>
      </c>
      <c r="G18" t="s">
        <v>2426</v>
      </c>
      <c r="H18" s="3" t="s">
        <v>3067</v>
      </c>
      <c r="I18" s="3" t="s">
        <v>3074</v>
      </c>
      <c r="J18" t="s">
        <v>3091</v>
      </c>
      <c r="K18">
        <v>3</v>
      </c>
      <c r="L18" t="s">
        <v>4276</v>
      </c>
      <c r="M18" s="3" t="s">
        <v>4280</v>
      </c>
      <c r="N18">
        <v>1067.6199999999999</v>
      </c>
    </row>
    <row r="19" spans="1:14" x14ac:dyDescent="0.35">
      <c r="A19" t="s">
        <v>31</v>
      </c>
      <c r="B19" t="s">
        <v>4301</v>
      </c>
      <c r="C19" t="s">
        <v>1231</v>
      </c>
      <c r="D19" s="3" t="s">
        <v>2405</v>
      </c>
      <c r="E19">
        <v>1</v>
      </c>
      <c r="F19">
        <v>423.4</v>
      </c>
      <c r="G19" t="s">
        <v>2427</v>
      </c>
      <c r="H19" s="3" t="s">
        <v>3065</v>
      </c>
      <c r="I19" s="3" t="s">
        <v>3070</v>
      </c>
      <c r="J19" t="s">
        <v>3092</v>
      </c>
      <c r="K19">
        <v>3</v>
      </c>
      <c r="L19" t="s">
        <v>4292</v>
      </c>
      <c r="M19" s="3" t="s">
        <v>4279</v>
      </c>
      <c r="N19">
        <v>423.4</v>
      </c>
    </row>
    <row r="20" spans="1:14" x14ac:dyDescent="0.35">
      <c r="A20" t="s">
        <v>32</v>
      </c>
      <c r="B20" t="s">
        <v>4302</v>
      </c>
      <c r="C20" t="s">
        <v>1232</v>
      </c>
      <c r="D20" s="3" t="s">
        <v>2409</v>
      </c>
      <c r="E20">
        <v>1</v>
      </c>
      <c r="F20">
        <v>431.44</v>
      </c>
      <c r="G20" t="s">
        <v>2428</v>
      </c>
      <c r="H20" s="3" t="s">
        <v>3068</v>
      </c>
      <c r="I20" s="3" t="s">
        <v>3074</v>
      </c>
      <c r="J20" t="s">
        <v>3093</v>
      </c>
      <c r="K20">
        <v>3</v>
      </c>
      <c r="L20" t="s">
        <v>4275</v>
      </c>
      <c r="M20" s="3" t="s">
        <v>4281</v>
      </c>
      <c r="N20">
        <v>431.44</v>
      </c>
    </row>
    <row r="21" spans="1:14" x14ac:dyDescent="0.35">
      <c r="A21" t="s">
        <v>33</v>
      </c>
      <c r="B21" t="s">
        <v>4303</v>
      </c>
      <c r="C21" t="s">
        <v>1233</v>
      </c>
      <c r="D21" s="3" t="s">
        <v>2403</v>
      </c>
      <c r="E21">
        <v>5</v>
      </c>
      <c r="F21">
        <v>224</v>
      </c>
      <c r="G21" t="s">
        <v>2429</v>
      </c>
      <c r="H21" s="3" t="s">
        <v>3069</v>
      </c>
      <c r="I21" s="3" t="s">
        <v>3072</v>
      </c>
      <c r="J21" t="s">
        <v>3094</v>
      </c>
      <c r="K21">
        <v>9</v>
      </c>
      <c r="L21" t="s">
        <v>4275</v>
      </c>
      <c r="M21" s="3" t="s">
        <v>4282</v>
      </c>
      <c r="N21">
        <v>1120</v>
      </c>
    </row>
    <row r="22" spans="1:14" x14ac:dyDescent="0.35">
      <c r="A22" t="s">
        <v>34</v>
      </c>
      <c r="B22" t="s">
        <v>4304</v>
      </c>
      <c r="C22" t="s">
        <v>1234</v>
      </c>
      <c r="D22" s="3" t="s">
        <v>2406</v>
      </c>
      <c r="E22">
        <v>5</v>
      </c>
      <c r="F22">
        <v>62.51</v>
      </c>
      <c r="G22" t="s">
        <v>2430</v>
      </c>
      <c r="H22" s="3" t="s">
        <v>3069</v>
      </c>
      <c r="I22" s="3" t="s">
        <v>3074</v>
      </c>
      <c r="J22" t="s">
        <v>3095</v>
      </c>
      <c r="K22">
        <v>9</v>
      </c>
      <c r="L22" t="s">
        <v>4277</v>
      </c>
      <c r="M22" s="3" t="s">
        <v>4278</v>
      </c>
      <c r="N22">
        <v>312.55</v>
      </c>
    </row>
    <row r="23" spans="1:14" x14ac:dyDescent="0.35">
      <c r="A23" t="s">
        <v>35</v>
      </c>
      <c r="B23" t="s">
        <v>4305</v>
      </c>
      <c r="C23" t="s">
        <v>1235</v>
      </c>
      <c r="D23" s="3" t="s">
        <v>2403</v>
      </c>
      <c r="E23">
        <v>4</v>
      </c>
      <c r="F23">
        <v>342.95</v>
      </c>
      <c r="G23" t="s">
        <v>2431</v>
      </c>
      <c r="H23" s="3" t="s">
        <v>3069</v>
      </c>
      <c r="I23" s="3" t="s">
        <v>3073</v>
      </c>
      <c r="J23" t="s">
        <v>3096</v>
      </c>
      <c r="K23">
        <v>6</v>
      </c>
      <c r="L23" t="s">
        <v>4292</v>
      </c>
      <c r="M23" s="3" t="s">
        <v>4282</v>
      </c>
      <c r="N23">
        <v>1371.8</v>
      </c>
    </row>
    <row r="24" spans="1:14" x14ac:dyDescent="0.35">
      <c r="A24" t="s">
        <v>36</v>
      </c>
      <c r="B24" t="s">
        <v>4306</v>
      </c>
      <c r="C24" t="s">
        <v>1236</v>
      </c>
      <c r="D24" s="3" t="s">
        <v>2403</v>
      </c>
      <c r="E24">
        <v>2</v>
      </c>
      <c r="F24">
        <v>49.62</v>
      </c>
      <c r="G24" t="s">
        <v>2432</v>
      </c>
      <c r="H24" s="3" t="s">
        <v>3066</v>
      </c>
      <c r="I24" s="3" t="s">
        <v>3074</v>
      </c>
      <c r="J24" t="s">
        <v>3097</v>
      </c>
      <c r="K24">
        <v>2</v>
      </c>
      <c r="L24" t="s">
        <v>4275</v>
      </c>
      <c r="M24" s="3" t="s">
        <v>4282</v>
      </c>
      <c r="N24">
        <v>99.24</v>
      </c>
    </row>
    <row r="25" spans="1:14" x14ac:dyDescent="0.35">
      <c r="A25" t="s">
        <v>37</v>
      </c>
      <c r="B25" t="s">
        <v>4307</v>
      </c>
      <c r="C25" t="s">
        <v>1237</v>
      </c>
      <c r="D25" s="3" t="s">
        <v>2404</v>
      </c>
      <c r="E25">
        <v>4</v>
      </c>
      <c r="F25">
        <v>273.25</v>
      </c>
      <c r="G25" t="s">
        <v>2433</v>
      </c>
      <c r="H25" s="3" t="s">
        <v>3065</v>
      </c>
      <c r="I25" s="3" t="s">
        <v>3071</v>
      </c>
      <c r="J25" t="s">
        <v>3098</v>
      </c>
      <c r="K25">
        <v>5</v>
      </c>
      <c r="L25" t="s">
        <v>4276</v>
      </c>
      <c r="M25" s="3" t="s">
        <v>4279</v>
      </c>
      <c r="N25">
        <v>1093</v>
      </c>
    </row>
    <row r="26" spans="1:14" x14ac:dyDescent="0.35">
      <c r="A26" t="s">
        <v>38</v>
      </c>
      <c r="B26" t="s">
        <v>4308</v>
      </c>
      <c r="C26" t="s">
        <v>1238</v>
      </c>
      <c r="D26" s="3" t="s">
        <v>2408</v>
      </c>
      <c r="E26">
        <v>2</v>
      </c>
      <c r="F26">
        <v>230.95</v>
      </c>
      <c r="G26" t="s">
        <v>2434</v>
      </c>
      <c r="H26" s="3" t="s">
        <v>3066</v>
      </c>
      <c r="I26" s="3" t="s">
        <v>3073</v>
      </c>
      <c r="J26" t="s">
        <v>3099</v>
      </c>
      <c r="K26">
        <v>3</v>
      </c>
      <c r="L26" t="s">
        <v>4277</v>
      </c>
      <c r="M26" s="3" t="s">
        <v>4279</v>
      </c>
      <c r="N26">
        <v>461.9</v>
      </c>
    </row>
    <row r="27" spans="1:14" x14ac:dyDescent="0.35">
      <c r="A27" t="s">
        <v>39</v>
      </c>
      <c r="B27" t="s">
        <v>4309</v>
      </c>
      <c r="C27" t="s">
        <v>1239</v>
      </c>
      <c r="D27" s="3" t="s">
        <v>2403</v>
      </c>
      <c r="E27">
        <v>1</v>
      </c>
      <c r="F27">
        <v>399.98</v>
      </c>
      <c r="G27" t="s">
        <v>2435</v>
      </c>
      <c r="H27" s="3" t="s">
        <v>3065</v>
      </c>
      <c r="I27" s="3" t="s">
        <v>3073</v>
      </c>
      <c r="J27" t="s">
        <v>3100</v>
      </c>
      <c r="K27">
        <v>3</v>
      </c>
      <c r="L27" t="s">
        <v>4277</v>
      </c>
      <c r="M27" s="3" t="s">
        <v>4280</v>
      </c>
      <c r="N27">
        <v>399.98</v>
      </c>
    </row>
    <row r="28" spans="1:14" x14ac:dyDescent="0.35">
      <c r="A28" t="s">
        <v>40</v>
      </c>
      <c r="B28" t="s">
        <v>4310</v>
      </c>
      <c r="C28" t="s">
        <v>1240</v>
      </c>
      <c r="D28" s="3" t="s">
        <v>2408</v>
      </c>
      <c r="E28">
        <v>5</v>
      </c>
      <c r="F28">
        <v>59.55</v>
      </c>
      <c r="G28" t="s">
        <v>2436</v>
      </c>
      <c r="H28" s="3" t="s">
        <v>3066</v>
      </c>
      <c r="I28" s="3" t="s">
        <v>3073</v>
      </c>
      <c r="J28" t="s">
        <v>3101</v>
      </c>
      <c r="K28">
        <v>6</v>
      </c>
      <c r="L28" t="s">
        <v>4292</v>
      </c>
      <c r="M28" s="3" t="s">
        <v>4279</v>
      </c>
      <c r="N28">
        <v>297.75</v>
      </c>
    </row>
    <row r="29" spans="1:14" x14ac:dyDescent="0.35">
      <c r="A29" t="s">
        <v>41</v>
      </c>
      <c r="B29" t="s">
        <v>4311</v>
      </c>
      <c r="C29" t="s">
        <v>1241</v>
      </c>
      <c r="D29" s="3" t="s">
        <v>2407</v>
      </c>
      <c r="E29">
        <v>1</v>
      </c>
      <c r="F29">
        <v>472.74</v>
      </c>
      <c r="G29" t="s">
        <v>2437</v>
      </c>
      <c r="H29" s="3" t="s">
        <v>3066</v>
      </c>
      <c r="I29" s="3" t="s">
        <v>3070</v>
      </c>
      <c r="J29" t="s">
        <v>3102</v>
      </c>
      <c r="K29">
        <v>6</v>
      </c>
      <c r="L29" t="s">
        <v>4277</v>
      </c>
      <c r="M29" s="3" t="s">
        <v>4282</v>
      </c>
      <c r="N29">
        <v>472.74</v>
      </c>
    </row>
    <row r="30" spans="1:14" x14ac:dyDescent="0.35">
      <c r="A30" t="s">
        <v>42</v>
      </c>
      <c r="B30" t="s">
        <v>4293</v>
      </c>
      <c r="C30" t="s">
        <v>1242</v>
      </c>
      <c r="D30" s="3" t="s">
        <v>2404</v>
      </c>
      <c r="E30">
        <v>4</v>
      </c>
      <c r="F30">
        <v>160.07</v>
      </c>
      <c r="G30" t="s">
        <v>2438</v>
      </c>
      <c r="H30" s="3" t="s">
        <v>3066</v>
      </c>
      <c r="I30" s="3" t="s">
        <v>3074</v>
      </c>
      <c r="J30" t="s">
        <v>3103</v>
      </c>
      <c r="K30">
        <v>5</v>
      </c>
      <c r="L30" t="s">
        <v>4292</v>
      </c>
      <c r="M30" s="3" t="s">
        <v>4280</v>
      </c>
      <c r="N30">
        <v>640.28</v>
      </c>
    </row>
    <row r="31" spans="1:14" x14ac:dyDescent="0.35">
      <c r="A31" t="s">
        <v>43</v>
      </c>
      <c r="B31" t="s">
        <v>4312</v>
      </c>
      <c r="C31" t="s">
        <v>1243</v>
      </c>
      <c r="D31" s="3" t="s">
        <v>2409</v>
      </c>
      <c r="E31">
        <v>3</v>
      </c>
      <c r="F31">
        <v>423.53</v>
      </c>
      <c r="G31" t="s">
        <v>2439</v>
      </c>
      <c r="H31" s="3" t="s">
        <v>3067</v>
      </c>
      <c r="I31" s="3" t="s">
        <v>3073</v>
      </c>
      <c r="J31" t="s">
        <v>3104</v>
      </c>
      <c r="K31">
        <v>6</v>
      </c>
      <c r="L31" t="s">
        <v>4275</v>
      </c>
      <c r="M31" s="3" t="s">
        <v>4279</v>
      </c>
      <c r="N31">
        <v>1270.5899999999999</v>
      </c>
    </row>
    <row r="32" spans="1:14" x14ac:dyDescent="0.35">
      <c r="A32" t="s">
        <v>44</v>
      </c>
      <c r="B32" t="s">
        <v>4313</v>
      </c>
      <c r="C32" t="s">
        <v>1244</v>
      </c>
      <c r="D32" s="3" t="s">
        <v>2403</v>
      </c>
      <c r="E32">
        <v>2</v>
      </c>
      <c r="F32">
        <v>426.7</v>
      </c>
      <c r="G32" t="s">
        <v>2440</v>
      </c>
      <c r="H32" s="3" t="s">
        <v>3066</v>
      </c>
      <c r="I32" s="3" t="s">
        <v>3074</v>
      </c>
      <c r="J32" t="s">
        <v>3105</v>
      </c>
      <c r="K32">
        <v>5</v>
      </c>
      <c r="L32" t="s">
        <v>4275</v>
      </c>
      <c r="M32" s="3" t="s">
        <v>4279</v>
      </c>
      <c r="N32">
        <v>853.4</v>
      </c>
    </row>
    <row r="33" spans="1:14" x14ac:dyDescent="0.35">
      <c r="A33" t="s">
        <v>45</v>
      </c>
      <c r="B33" t="s">
        <v>4314</v>
      </c>
      <c r="C33" t="s">
        <v>1245</v>
      </c>
      <c r="D33" s="3" t="s">
        <v>2406</v>
      </c>
      <c r="E33">
        <v>3</v>
      </c>
      <c r="F33">
        <v>500.08</v>
      </c>
      <c r="G33" t="s">
        <v>2441</v>
      </c>
      <c r="H33" s="3" t="s">
        <v>3065</v>
      </c>
      <c r="I33" s="3" t="s">
        <v>3072</v>
      </c>
      <c r="J33" t="s">
        <v>3106</v>
      </c>
      <c r="K33">
        <v>6</v>
      </c>
      <c r="L33" t="s">
        <v>4292</v>
      </c>
      <c r="M33" s="3" t="s">
        <v>4281</v>
      </c>
      <c r="N33">
        <v>1500.24</v>
      </c>
    </row>
    <row r="34" spans="1:14" x14ac:dyDescent="0.35">
      <c r="A34" t="s">
        <v>46</v>
      </c>
      <c r="B34" t="s">
        <v>4315</v>
      </c>
      <c r="C34" t="s">
        <v>1246</v>
      </c>
      <c r="D34" s="3" t="s">
        <v>2405</v>
      </c>
      <c r="E34">
        <v>5</v>
      </c>
      <c r="F34">
        <v>536.72</v>
      </c>
      <c r="G34" t="s">
        <v>2442</v>
      </c>
      <c r="H34" s="3" t="s">
        <v>3069</v>
      </c>
      <c r="I34" s="3" t="s">
        <v>3073</v>
      </c>
      <c r="J34" t="s">
        <v>3107</v>
      </c>
      <c r="K34">
        <v>10</v>
      </c>
      <c r="L34" t="s">
        <v>4292</v>
      </c>
      <c r="M34" s="3" t="s">
        <v>4280</v>
      </c>
      <c r="N34">
        <v>2683.6</v>
      </c>
    </row>
    <row r="35" spans="1:14" x14ac:dyDescent="0.35">
      <c r="A35" t="s">
        <v>47</v>
      </c>
      <c r="B35" t="s">
        <v>4316</v>
      </c>
      <c r="C35" t="s">
        <v>1247</v>
      </c>
      <c r="D35" s="3" t="s">
        <v>2406</v>
      </c>
      <c r="E35">
        <v>1</v>
      </c>
      <c r="F35">
        <v>162.77000000000001</v>
      </c>
      <c r="G35" t="s">
        <v>2443</v>
      </c>
      <c r="H35" s="3" t="s">
        <v>3066</v>
      </c>
      <c r="I35" s="3" t="s">
        <v>3071</v>
      </c>
      <c r="J35" t="s">
        <v>3108</v>
      </c>
      <c r="K35">
        <v>4</v>
      </c>
      <c r="L35" t="s">
        <v>4277</v>
      </c>
      <c r="M35" s="3" t="s">
        <v>4281</v>
      </c>
      <c r="N35">
        <v>162.77000000000001</v>
      </c>
    </row>
    <row r="36" spans="1:14" x14ac:dyDescent="0.35">
      <c r="A36" t="s">
        <v>48</v>
      </c>
      <c r="B36" t="s">
        <v>4317</v>
      </c>
      <c r="C36" t="s">
        <v>1248</v>
      </c>
      <c r="D36" s="3" t="s">
        <v>2406</v>
      </c>
      <c r="E36">
        <v>4</v>
      </c>
      <c r="F36">
        <v>576.52</v>
      </c>
      <c r="G36" t="s">
        <v>2444</v>
      </c>
      <c r="H36" s="3" t="s">
        <v>3067</v>
      </c>
      <c r="I36" s="3" t="s">
        <v>3074</v>
      </c>
      <c r="J36" t="s">
        <v>3109</v>
      </c>
      <c r="K36">
        <v>5</v>
      </c>
      <c r="L36" t="s">
        <v>4277</v>
      </c>
      <c r="M36" s="3" t="s">
        <v>4281</v>
      </c>
      <c r="N36">
        <v>2306.08</v>
      </c>
    </row>
    <row r="37" spans="1:14" x14ac:dyDescent="0.35">
      <c r="A37" t="s">
        <v>49</v>
      </c>
      <c r="B37" t="s">
        <v>4318</v>
      </c>
      <c r="C37" t="s">
        <v>1249</v>
      </c>
      <c r="D37" s="3" t="s">
        <v>2403</v>
      </c>
      <c r="E37">
        <v>2</v>
      </c>
      <c r="F37">
        <v>465.15</v>
      </c>
      <c r="G37" t="s">
        <v>2445</v>
      </c>
      <c r="H37" s="3" t="s">
        <v>3066</v>
      </c>
      <c r="I37" s="3" t="s">
        <v>3070</v>
      </c>
      <c r="J37" t="s">
        <v>3110</v>
      </c>
      <c r="K37">
        <v>2</v>
      </c>
      <c r="L37" t="s">
        <v>4275</v>
      </c>
      <c r="M37" s="3" t="s">
        <v>4281</v>
      </c>
      <c r="N37">
        <v>930.3</v>
      </c>
    </row>
    <row r="38" spans="1:14" x14ac:dyDescent="0.35">
      <c r="A38" t="s">
        <v>50</v>
      </c>
      <c r="B38" t="s">
        <v>4287</v>
      </c>
      <c r="C38" t="s">
        <v>1250</v>
      </c>
      <c r="D38" s="3" t="s">
        <v>2408</v>
      </c>
      <c r="E38">
        <v>2</v>
      </c>
      <c r="F38">
        <v>534.42999999999995</v>
      </c>
      <c r="G38" t="s">
        <v>2446</v>
      </c>
      <c r="H38" s="3" t="s">
        <v>3065</v>
      </c>
      <c r="I38" s="3" t="s">
        <v>3074</v>
      </c>
      <c r="J38" t="s">
        <v>3111</v>
      </c>
      <c r="K38">
        <v>5</v>
      </c>
      <c r="L38" t="s">
        <v>4292</v>
      </c>
      <c r="M38" s="3" t="s">
        <v>4281</v>
      </c>
      <c r="N38">
        <v>1068.8599999999999</v>
      </c>
    </row>
    <row r="39" spans="1:14" x14ac:dyDescent="0.35">
      <c r="A39" t="s">
        <v>51</v>
      </c>
      <c r="B39" t="s">
        <v>4319</v>
      </c>
      <c r="C39" t="s">
        <v>1251</v>
      </c>
      <c r="D39" s="3" t="s">
        <v>2408</v>
      </c>
      <c r="E39">
        <v>2</v>
      </c>
      <c r="F39">
        <v>76.739999999999995</v>
      </c>
      <c r="G39" t="s">
        <v>2447</v>
      </c>
      <c r="H39" s="3" t="s">
        <v>3069</v>
      </c>
      <c r="I39" s="3" t="s">
        <v>3072</v>
      </c>
      <c r="J39" t="s">
        <v>3112</v>
      </c>
      <c r="K39">
        <v>7</v>
      </c>
      <c r="L39" t="s">
        <v>4275</v>
      </c>
      <c r="M39" s="3" t="s">
        <v>4278</v>
      </c>
      <c r="N39">
        <v>153.47999999999999</v>
      </c>
    </row>
    <row r="40" spans="1:14" x14ac:dyDescent="0.35">
      <c r="A40" t="s">
        <v>52</v>
      </c>
      <c r="B40" t="s">
        <v>4320</v>
      </c>
      <c r="C40" t="s">
        <v>1252</v>
      </c>
      <c r="D40" s="3" t="s">
        <v>2408</v>
      </c>
      <c r="E40">
        <v>1</v>
      </c>
      <c r="F40">
        <v>245.89</v>
      </c>
      <c r="G40" t="s">
        <v>2448</v>
      </c>
      <c r="H40" s="3" t="s">
        <v>3065</v>
      </c>
      <c r="I40" s="3" t="s">
        <v>3073</v>
      </c>
      <c r="J40" t="s">
        <v>3113</v>
      </c>
      <c r="K40">
        <v>3</v>
      </c>
      <c r="L40" t="s">
        <v>4275</v>
      </c>
      <c r="M40" s="3" t="s">
        <v>4282</v>
      </c>
      <c r="N40">
        <v>245.89</v>
      </c>
    </row>
    <row r="41" spans="1:14" x14ac:dyDescent="0.35">
      <c r="A41" t="s">
        <v>53</v>
      </c>
      <c r="B41" t="s">
        <v>4321</v>
      </c>
      <c r="C41" t="s">
        <v>1253</v>
      </c>
      <c r="D41" s="3" t="s">
        <v>2407</v>
      </c>
      <c r="E41">
        <v>3</v>
      </c>
      <c r="F41">
        <v>256.45999999999998</v>
      </c>
      <c r="G41" t="s">
        <v>2449</v>
      </c>
      <c r="H41" s="3" t="s">
        <v>3067</v>
      </c>
      <c r="I41" s="3" t="s">
        <v>3073</v>
      </c>
      <c r="J41" t="s">
        <v>3114</v>
      </c>
      <c r="K41">
        <v>4</v>
      </c>
      <c r="L41" t="s">
        <v>4275</v>
      </c>
      <c r="M41" s="3" t="s">
        <v>4279</v>
      </c>
      <c r="N41">
        <v>769.38</v>
      </c>
    </row>
    <row r="42" spans="1:14" x14ac:dyDescent="0.35">
      <c r="A42" t="s">
        <v>54</v>
      </c>
      <c r="B42" t="s">
        <v>4322</v>
      </c>
      <c r="C42" t="s">
        <v>1254</v>
      </c>
      <c r="D42" s="3" t="s">
        <v>2409</v>
      </c>
      <c r="E42">
        <v>2</v>
      </c>
      <c r="F42">
        <v>344.02</v>
      </c>
      <c r="G42" t="s">
        <v>2450</v>
      </c>
      <c r="H42" s="3" t="s">
        <v>3066</v>
      </c>
      <c r="I42" s="3" t="s">
        <v>3073</v>
      </c>
      <c r="J42" t="s">
        <v>3115</v>
      </c>
      <c r="K42">
        <v>4</v>
      </c>
      <c r="L42" t="s">
        <v>4276</v>
      </c>
      <c r="M42" s="3" t="s">
        <v>4278</v>
      </c>
      <c r="N42">
        <v>688.04</v>
      </c>
    </row>
    <row r="43" spans="1:14" x14ac:dyDescent="0.35">
      <c r="A43" t="s">
        <v>55</v>
      </c>
      <c r="B43" t="s">
        <v>4323</v>
      </c>
      <c r="C43" t="s">
        <v>1255</v>
      </c>
      <c r="D43" s="3" t="s">
        <v>2403</v>
      </c>
      <c r="E43">
        <v>3</v>
      </c>
      <c r="F43">
        <v>611.45000000000005</v>
      </c>
      <c r="G43" t="s">
        <v>2451</v>
      </c>
      <c r="H43" s="3" t="s">
        <v>3068</v>
      </c>
      <c r="I43" s="3" t="s">
        <v>3074</v>
      </c>
      <c r="J43" t="s">
        <v>3116</v>
      </c>
      <c r="K43">
        <v>4</v>
      </c>
      <c r="L43" t="s">
        <v>4276</v>
      </c>
      <c r="M43" s="3" t="s">
        <v>4278</v>
      </c>
      <c r="N43">
        <v>1834.35</v>
      </c>
    </row>
    <row r="44" spans="1:14" x14ac:dyDescent="0.35">
      <c r="A44" t="s">
        <v>56</v>
      </c>
      <c r="B44" t="s">
        <v>4324</v>
      </c>
      <c r="C44" t="s">
        <v>1256</v>
      </c>
      <c r="D44" s="3" t="s">
        <v>2407</v>
      </c>
      <c r="E44">
        <v>2</v>
      </c>
      <c r="F44">
        <v>151.66</v>
      </c>
      <c r="G44" t="s">
        <v>2424</v>
      </c>
      <c r="H44" s="3" t="s">
        <v>3069</v>
      </c>
      <c r="I44" s="3" t="s">
        <v>3071</v>
      </c>
      <c r="J44" t="s">
        <v>3117</v>
      </c>
      <c r="K44">
        <v>6</v>
      </c>
      <c r="L44" t="s">
        <v>4292</v>
      </c>
      <c r="M44" s="3" t="s">
        <v>4278</v>
      </c>
      <c r="N44">
        <v>303.32</v>
      </c>
    </row>
    <row r="45" spans="1:14" x14ac:dyDescent="0.35">
      <c r="A45" t="s">
        <v>57</v>
      </c>
      <c r="B45" t="s">
        <v>4325</v>
      </c>
      <c r="C45" t="s">
        <v>1257</v>
      </c>
      <c r="D45" s="3" t="s">
        <v>2406</v>
      </c>
      <c r="E45">
        <v>3</v>
      </c>
      <c r="F45">
        <v>499.21</v>
      </c>
      <c r="G45" t="s">
        <v>2452</v>
      </c>
      <c r="H45" s="3" t="s">
        <v>3066</v>
      </c>
      <c r="I45" s="3" t="s">
        <v>3071</v>
      </c>
      <c r="J45" t="s">
        <v>3118</v>
      </c>
      <c r="K45">
        <v>8</v>
      </c>
      <c r="L45" t="s">
        <v>4292</v>
      </c>
      <c r="M45" s="3" t="s">
        <v>4278</v>
      </c>
      <c r="N45">
        <v>1497.63</v>
      </c>
    </row>
    <row r="46" spans="1:14" x14ac:dyDescent="0.35">
      <c r="A46" t="s">
        <v>58</v>
      </c>
      <c r="B46" t="s">
        <v>4326</v>
      </c>
      <c r="C46" t="s">
        <v>1258</v>
      </c>
      <c r="D46" s="3" t="s">
        <v>2404</v>
      </c>
      <c r="E46">
        <v>2</v>
      </c>
      <c r="F46">
        <v>550.17999999999995</v>
      </c>
      <c r="G46" t="s">
        <v>2441</v>
      </c>
      <c r="H46" s="3" t="s">
        <v>3068</v>
      </c>
      <c r="I46" s="3" t="s">
        <v>3072</v>
      </c>
      <c r="J46" t="s">
        <v>3119</v>
      </c>
      <c r="K46">
        <v>3</v>
      </c>
      <c r="L46" t="s">
        <v>4276</v>
      </c>
      <c r="M46" s="3" t="s">
        <v>4279</v>
      </c>
      <c r="N46">
        <v>1100.3599999999999</v>
      </c>
    </row>
    <row r="47" spans="1:14" x14ac:dyDescent="0.35">
      <c r="A47" t="s">
        <v>59</v>
      </c>
      <c r="B47" t="s">
        <v>4327</v>
      </c>
      <c r="C47" t="s">
        <v>1259</v>
      </c>
      <c r="D47" s="3" t="s">
        <v>2406</v>
      </c>
      <c r="E47">
        <v>1</v>
      </c>
      <c r="F47">
        <v>317.25</v>
      </c>
      <c r="G47" t="s">
        <v>2453</v>
      </c>
      <c r="H47" s="3" t="s">
        <v>3065</v>
      </c>
      <c r="I47" s="3" t="s">
        <v>3072</v>
      </c>
      <c r="J47" t="s">
        <v>3120</v>
      </c>
      <c r="K47">
        <v>1</v>
      </c>
      <c r="L47" t="s">
        <v>4275</v>
      </c>
      <c r="M47" s="3" t="s">
        <v>4281</v>
      </c>
      <c r="N47">
        <v>317.25</v>
      </c>
    </row>
    <row r="48" spans="1:14" x14ac:dyDescent="0.35">
      <c r="A48" t="s">
        <v>60</v>
      </c>
      <c r="B48" t="s">
        <v>4328</v>
      </c>
      <c r="C48" t="s">
        <v>1260</v>
      </c>
      <c r="D48" s="3" t="s">
        <v>2403</v>
      </c>
      <c r="E48">
        <v>4</v>
      </c>
      <c r="F48">
        <v>550.14</v>
      </c>
      <c r="G48" t="s">
        <v>2454</v>
      </c>
      <c r="H48" s="3" t="s">
        <v>3065</v>
      </c>
      <c r="I48" s="3" t="s">
        <v>3074</v>
      </c>
      <c r="J48" t="s">
        <v>3121</v>
      </c>
      <c r="K48">
        <v>4</v>
      </c>
      <c r="L48" t="s">
        <v>4276</v>
      </c>
      <c r="M48" s="3" t="s">
        <v>4278</v>
      </c>
      <c r="N48">
        <v>2200.56</v>
      </c>
    </row>
    <row r="49" spans="1:14" x14ac:dyDescent="0.35">
      <c r="A49" t="s">
        <v>61</v>
      </c>
      <c r="B49" t="s">
        <v>4329</v>
      </c>
      <c r="C49" t="s">
        <v>1261</v>
      </c>
      <c r="D49" s="3" t="s">
        <v>2409</v>
      </c>
      <c r="E49">
        <v>2</v>
      </c>
      <c r="F49">
        <v>209.94</v>
      </c>
      <c r="G49" t="s">
        <v>2455</v>
      </c>
      <c r="H49" s="3" t="s">
        <v>3067</v>
      </c>
      <c r="I49" s="3" t="s">
        <v>3072</v>
      </c>
      <c r="J49" t="s">
        <v>3122</v>
      </c>
      <c r="K49">
        <v>3</v>
      </c>
      <c r="L49" t="s">
        <v>4276</v>
      </c>
      <c r="M49" s="3" t="s">
        <v>4280</v>
      </c>
      <c r="N49">
        <v>419.88</v>
      </c>
    </row>
    <row r="50" spans="1:14" x14ac:dyDescent="0.35">
      <c r="A50" t="s">
        <v>62</v>
      </c>
      <c r="B50" t="s">
        <v>4330</v>
      </c>
      <c r="C50" t="s">
        <v>1262</v>
      </c>
      <c r="D50" s="3" t="s">
        <v>2403</v>
      </c>
      <c r="E50">
        <v>2</v>
      </c>
      <c r="F50">
        <v>80.77</v>
      </c>
      <c r="G50" t="s">
        <v>2456</v>
      </c>
      <c r="H50" s="3" t="s">
        <v>3065</v>
      </c>
      <c r="I50" s="3" t="s">
        <v>3070</v>
      </c>
      <c r="J50" t="s">
        <v>3123</v>
      </c>
      <c r="K50">
        <v>4</v>
      </c>
      <c r="L50" t="s">
        <v>4292</v>
      </c>
      <c r="M50" s="3" t="s">
        <v>4282</v>
      </c>
      <c r="N50">
        <v>161.54</v>
      </c>
    </row>
    <row r="51" spans="1:14" x14ac:dyDescent="0.35">
      <c r="A51" t="s">
        <v>63</v>
      </c>
      <c r="B51" t="s">
        <v>4331</v>
      </c>
      <c r="C51" t="s">
        <v>1263</v>
      </c>
      <c r="D51" s="3" t="s">
        <v>2407</v>
      </c>
      <c r="E51">
        <v>1</v>
      </c>
      <c r="F51">
        <v>30.44</v>
      </c>
      <c r="G51" t="s">
        <v>2432</v>
      </c>
      <c r="H51" s="3" t="s">
        <v>3067</v>
      </c>
      <c r="I51" s="3" t="s">
        <v>3070</v>
      </c>
      <c r="J51" t="s">
        <v>3124</v>
      </c>
      <c r="K51">
        <v>1</v>
      </c>
      <c r="L51" t="s">
        <v>4275</v>
      </c>
      <c r="M51" s="3" t="s">
        <v>4280</v>
      </c>
      <c r="N51">
        <v>30.44</v>
      </c>
    </row>
    <row r="52" spans="1:14" x14ac:dyDescent="0.35">
      <c r="A52" t="s">
        <v>64</v>
      </c>
      <c r="B52" t="s">
        <v>4332</v>
      </c>
      <c r="C52" t="s">
        <v>1264</v>
      </c>
      <c r="D52" s="3" t="s">
        <v>2405</v>
      </c>
      <c r="E52">
        <v>1</v>
      </c>
      <c r="F52">
        <v>179.22</v>
      </c>
      <c r="G52" t="s">
        <v>2457</v>
      </c>
      <c r="H52" s="3" t="s">
        <v>3066</v>
      </c>
      <c r="I52" s="3" t="s">
        <v>3071</v>
      </c>
      <c r="J52" t="s">
        <v>3125</v>
      </c>
      <c r="K52">
        <v>6</v>
      </c>
      <c r="L52" t="s">
        <v>4276</v>
      </c>
      <c r="M52" s="3" t="s">
        <v>4278</v>
      </c>
      <c r="N52">
        <v>179.22</v>
      </c>
    </row>
    <row r="53" spans="1:14" x14ac:dyDescent="0.35">
      <c r="A53" t="s">
        <v>65</v>
      </c>
      <c r="B53" t="s">
        <v>4333</v>
      </c>
      <c r="C53" t="s">
        <v>1265</v>
      </c>
      <c r="D53" s="3" t="s">
        <v>2405</v>
      </c>
      <c r="E53">
        <v>1</v>
      </c>
      <c r="F53">
        <v>388.33</v>
      </c>
      <c r="G53" t="s">
        <v>2458</v>
      </c>
      <c r="H53" s="3" t="s">
        <v>3069</v>
      </c>
      <c r="I53" s="3" t="s">
        <v>3072</v>
      </c>
      <c r="J53" t="s">
        <v>3126</v>
      </c>
      <c r="K53">
        <v>2</v>
      </c>
      <c r="L53" t="s">
        <v>4275</v>
      </c>
      <c r="M53" s="3" t="s">
        <v>4281</v>
      </c>
      <c r="N53">
        <v>388.33</v>
      </c>
    </row>
    <row r="54" spans="1:14" x14ac:dyDescent="0.35">
      <c r="A54" t="s">
        <v>66</v>
      </c>
      <c r="B54" t="s">
        <v>4334</v>
      </c>
      <c r="C54" t="s">
        <v>1266</v>
      </c>
      <c r="D54" s="3" t="s">
        <v>2405</v>
      </c>
      <c r="E54">
        <v>1</v>
      </c>
      <c r="F54">
        <v>586.44000000000005</v>
      </c>
      <c r="G54" t="s">
        <v>2459</v>
      </c>
      <c r="H54" s="3" t="s">
        <v>3066</v>
      </c>
      <c r="I54" s="3" t="s">
        <v>3072</v>
      </c>
      <c r="J54" t="s">
        <v>3127</v>
      </c>
      <c r="K54">
        <v>5</v>
      </c>
      <c r="L54" t="s">
        <v>4275</v>
      </c>
      <c r="M54" s="3" t="s">
        <v>4281</v>
      </c>
      <c r="N54">
        <v>586.44000000000005</v>
      </c>
    </row>
    <row r="55" spans="1:14" x14ac:dyDescent="0.35">
      <c r="A55" t="s">
        <v>67</v>
      </c>
      <c r="B55" t="s">
        <v>4335</v>
      </c>
      <c r="C55" t="s">
        <v>1267</v>
      </c>
      <c r="D55" s="3" t="s">
        <v>2404</v>
      </c>
      <c r="E55">
        <v>4</v>
      </c>
      <c r="F55">
        <v>488.78</v>
      </c>
      <c r="G55" t="s">
        <v>2412</v>
      </c>
      <c r="H55" s="3" t="s">
        <v>3066</v>
      </c>
      <c r="I55" s="3" t="s">
        <v>3072</v>
      </c>
      <c r="J55" t="s">
        <v>3128</v>
      </c>
      <c r="K55">
        <v>5</v>
      </c>
      <c r="L55" t="s">
        <v>4276</v>
      </c>
      <c r="M55" s="3" t="s">
        <v>4282</v>
      </c>
      <c r="N55">
        <v>1955.12</v>
      </c>
    </row>
    <row r="56" spans="1:14" x14ac:dyDescent="0.35">
      <c r="A56" t="s">
        <v>68</v>
      </c>
      <c r="B56" t="s">
        <v>4336</v>
      </c>
      <c r="C56" t="s">
        <v>1268</v>
      </c>
      <c r="D56" s="3" t="s">
        <v>2406</v>
      </c>
      <c r="E56">
        <v>1</v>
      </c>
      <c r="F56">
        <v>280.25</v>
      </c>
      <c r="G56" t="s">
        <v>2460</v>
      </c>
      <c r="H56" s="3" t="s">
        <v>3066</v>
      </c>
      <c r="I56" s="3" t="s">
        <v>3074</v>
      </c>
      <c r="J56" t="s">
        <v>3129</v>
      </c>
      <c r="K56">
        <v>5</v>
      </c>
      <c r="L56" t="s">
        <v>4277</v>
      </c>
      <c r="M56" s="3" t="s">
        <v>4280</v>
      </c>
      <c r="N56">
        <v>280.25</v>
      </c>
    </row>
    <row r="57" spans="1:14" x14ac:dyDescent="0.35">
      <c r="A57" t="s">
        <v>69</v>
      </c>
      <c r="B57" t="s">
        <v>4337</v>
      </c>
      <c r="C57" t="s">
        <v>1269</v>
      </c>
      <c r="D57" s="3" t="s">
        <v>2407</v>
      </c>
      <c r="E57">
        <v>3</v>
      </c>
      <c r="F57">
        <v>344.4</v>
      </c>
      <c r="G57" t="s">
        <v>2461</v>
      </c>
      <c r="H57" s="3" t="s">
        <v>3066</v>
      </c>
      <c r="I57" s="3" t="s">
        <v>3071</v>
      </c>
      <c r="J57" t="s">
        <v>3130</v>
      </c>
      <c r="K57">
        <v>3</v>
      </c>
      <c r="L57" t="s">
        <v>4292</v>
      </c>
      <c r="M57" s="3" t="s">
        <v>4281</v>
      </c>
      <c r="N57">
        <v>1033.2</v>
      </c>
    </row>
    <row r="58" spans="1:14" x14ac:dyDescent="0.35">
      <c r="A58" t="s">
        <v>70</v>
      </c>
      <c r="B58" t="s">
        <v>4338</v>
      </c>
      <c r="C58" t="s">
        <v>1270</v>
      </c>
      <c r="D58" s="3" t="s">
        <v>2405</v>
      </c>
      <c r="E58">
        <v>3</v>
      </c>
      <c r="F58">
        <v>479.21</v>
      </c>
      <c r="G58" t="s">
        <v>2462</v>
      </c>
      <c r="H58" s="3" t="s">
        <v>3069</v>
      </c>
      <c r="I58" s="3" t="s">
        <v>3071</v>
      </c>
      <c r="J58" t="s">
        <v>3131</v>
      </c>
      <c r="K58">
        <v>5</v>
      </c>
      <c r="L58" t="s">
        <v>4277</v>
      </c>
      <c r="M58" s="3" t="s">
        <v>4279</v>
      </c>
      <c r="N58">
        <v>1437.63</v>
      </c>
    </row>
    <row r="59" spans="1:14" x14ac:dyDescent="0.35">
      <c r="A59" t="s">
        <v>71</v>
      </c>
      <c r="B59" t="s">
        <v>4339</v>
      </c>
      <c r="C59" t="s">
        <v>1271</v>
      </c>
      <c r="D59" s="3" t="s">
        <v>2407</v>
      </c>
      <c r="E59">
        <v>5</v>
      </c>
      <c r="F59">
        <v>314.27</v>
      </c>
      <c r="G59" t="s">
        <v>2463</v>
      </c>
      <c r="H59" s="3" t="s">
        <v>3069</v>
      </c>
      <c r="I59" s="3" t="s">
        <v>3072</v>
      </c>
      <c r="J59" t="s">
        <v>3132</v>
      </c>
      <c r="K59">
        <v>6</v>
      </c>
      <c r="L59" t="s">
        <v>4275</v>
      </c>
      <c r="M59" s="3" t="s">
        <v>4278</v>
      </c>
      <c r="N59">
        <v>1571.35</v>
      </c>
    </row>
    <row r="60" spans="1:14" x14ac:dyDescent="0.35">
      <c r="A60" t="s">
        <v>72</v>
      </c>
      <c r="B60" t="s">
        <v>4340</v>
      </c>
      <c r="C60" t="s">
        <v>1272</v>
      </c>
      <c r="D60" s="3" t="s">
        <v>2404</v>
      </c>
      <c r="E60">
        <v>4</v>
      </c>
      <c r="F60">
        <v>474.69</v>
      </c>
      <c r="G60" t="s">
        <v>2464</v>
      </c>
      <c r="H60" s="3" t="s">
        <v>3068</v>
      </c>
      <c r="I60" s="3" t="s">
        <v>3071</v>
      </c>
      <c r="J60" t="s">
        <v>3133</v>
      </c>
      <c r="K60">
        <v>6</v>
      </c>
      <c r="L60" t="s">
        <v>4275</v>
      </c>
      <c r="M60" s="3" t="s">
        <v>4282</v>
      </c>
      <c r="N60">
        <v>1898.76</v>
      </c>
    </row>
    <row r="61" spans="1:14" x14ac:dyDescent="0.35">
      <c r="A61" t="s">
        <v>73</v>
      </c>
      <c r="B61" t="s">
        <v>4341</v>
      </c>
      <c r="C61" t="s">
        <v>1273</v>
      </c>
      <c r="D61" s="3" t="s">
        <v>2406</v>
      </c>
      <c r="E61">
        <v>4</v>
      </c>
      <c r="F61">
        <v>593.27</v>
      </c>
      <c r="G61" t="s">
        <v>2465</v>
      </c>
      <c r="H61" s="3" t="s">
        <v>3066</v>
      </c>
      <c r="I61" s="3" t="s">
        <v>3070</v>
      </c>
      <c r="J61" t="s">
        <v>3134</v>
      </c>
      <c r="K61">
        <v>5</v>
      </c>
      <c r="L61" t="s">
        <v>4292</v>
      </c>
      <c r="M61" s="3" t="s">
        <v>4281</v>
      </c>
      <c r="N61">
        <v>2373.08</v>
      </c>
    </row>
    <row r="62" spans="1:14" x14ac:dyDescent="0.35">
      <c r="A62" t="s">
        <v>74</v>
      </c>
      <c r="B62" t="s">
        <v>4342</v>
      </c>
      <c r="C62" t="s">
        <v>1274</v>
      </c>
      <c r="D62" s="3" t="s">
        <v>2409</v>
      </c>
      <c r="E62">
        <v>1</v>
      </c>
      <c r="F62">
        <v>417.1</v>
      </c>
      <c r="G62" t="s">
        <v>2466</v>
      </c>
      <c r="H62" s="3" t="s">
        <v>3065</v>
      </c>
      <c r="I62" s="3" t="s">
        <v>3072</v>
      </c>
      <c r="J62" t="s">
        <v>3135</v>
      </c>
      <c r="K62">
        <v>3</v>
      </c>
      <c r="L62" t="s">
        <v>4276</v>
      </c>
      <c r="M62" s="3" t="s">
        <v>4279</v>
      </c>
      <c r="N62">
        <v>417.1</v>
      </c>
    </row>
    <row r="63" spans="1:14" x14ac:dyDescent="0.35">
      <c r="A63" t="s">
        <v>75</v>
      </c>
      <c r="B63" t="s">
        <v>4343</v>
      </c>
      <c r="C63" t="s">
        <v>1275</v>
      </c>
      <c r="D63" s="3" t="s">
        <v>2409</v>
      </c>
      <c r="E63">
        <v>4</v>
      </c>
      <c r="F63">
        <v>122.2</v>
      </c>
      <c r="G63" t="s">
        <v>2467</v>
      </c>
      <c r="H63" s="3" t="s">
        <v>3069</v>
      </c>
      <c r="I63" s="3" t="s">
        <v>3073</v>
      </c>
      <c r="J63" t="s">
        <v>3136</v>
      </c>
      <c r="K63">
        <v>7</v>
      </c>
      <c r="L63" t="s">
        <v>4276</v>
      </c>
      <c r="M63" s="3" t="s">
        <v>4281</v>
      </c>
      <c r="N63">
        <v>488.8</v>
      </c>
    </row>
    <row r="64" spans="1:14" x14ac:dyDescent="0.35">
      <c r="A64" t="s">
        <v>76</v>
      </c>
      <c r="B64" t="s">
        <v>4344</v>
      </c>
      <c r="C64" t="s">
        <v>1276</v>
      </c>
      <c r="D64" s="3" t="s">
        <v>2409</v>
      </c>
      <c r="E64">
        <v>2</v>
      </c>
      <c r="F64">
        <v>43.15</v>
      </c>
      <c r="G64" t="s">
        <v>2468</v>
      </c>
      <c r="H64" s="3" t="s">
        <v>3065</v>
      </c>
      <c r="I64" s="3" t="s">
        <v>3074</v>
      </c>
      <c r="J64" t="s">
        <v>3137</v>
      </c>
      <c r="K64">
        <v>3</v>
      </c>
      <c r="L64" t="s">
        <v>4277</v>
      </c>
      <c r="M64" s="3" t="s">
        <v>4280</v>
      </c>
      <c r="N64">
        <v>86.3</v>
      </c>
    </row>
    <row r="65" spans="1:14" x14ac:dyDescent="0.35">
      <c r="A65" t="s">
        <v>77</v>
      </c>
      <c r="B65" t="s">
        <v>4345</v>
      </c>
      <c r="C65" t="s">
        <v>1277</v>
      </c>
      <c r="D65" s="3" t="s">
        <v>2406</v>
      </c>
      <c r="E65">
        <v>1</v>
      </c>
      <c r="F65">
        <v>564.86</v>
      </c>
      <c r="G65" t="s">
        <v>2469</v>
      </c>
      <c r="H65" s="3" t="s">
        <v>3065</v>
      </c>
      <c r="I65" s="3" t="s">
        <v>3070</v>
      </c>
      <c r="J65" t="s">
        <v>3138</v>
      </c>
      <c r="K65">
        <v>6</v>
      </c>
      <c r="L65" t="s">
        <v>4277</v>
      </c>
      <c r="M65" s="3" t="s">
        <v>4279</v>
      </c>
      <c r="N65">
        <v>564.86</v>
      </c>
    </row>
    <row r="66" spans="1:14" x14ac:dyDescent="0.35">
      <c r="A66" t="s">
        <v>78</v>
      </c>
      <c r="B66" t="s">
        <v>4346</v>
      </c>
      <c r="C66" t="s">
        <v>1278</v>
      </c>
      <c r="D66" s="3" t="s">
        <v>2407</v>
      </c>
      <c r="E66">
        <v>3</v>
      </c>
      <c r="F66">
        <v>130.61000000000001</v>
      </c>
      <c r="G66" t="s">
        <v>2470</v>
      </c>
      <c r="H66" s="3" t="s">
        <v>3065</v>
      </c>
      <c r="I66" s="3" t="s">
        <v>3071</v>
      </c>
      <c r="J66" t="s">
        <v>3139</v>
      </c>
      <c r="K66">
        <v>4</v>
      </c>
      <c r="L66" t="s">
        <v>4276</v>
      </c>
      <c r="M66" s="3" t="s">
        <v>4281</v>
      </c>
      <c r="N66">
        <v>391.83</v>
      </c>
    </row>
    <row r="67" spans="1:14" x14ac:dyDescent="0.35">
      <c r="A67" t="s">
        <v>79</v>
      </c>
      <c r="B67" t="s">
        <v>4347</v>
      </c>
      <c r="C67" t="s">
        <v>1279</v>
      </c>
      <c r="D67" s="3" t="s">
        <v>2403</v>
      </c>
      <c r="E67">
        <v>5</v>
      </c>
      <c r="F67">
        <v>81.7</v>
      </c>
      <c r="G67" t="s">
        <v>2471</v>
      </c>
      <c r="H67" s="3" t="s">
        <v>3067</v>
      </c>
      <c r="I67" s="3" t="s">
        <v>3073</v>
      </c>
      <c r="J67" t="s">
        <v>3140</v>
      </c>
      <c r="K67">
        <v>6</v>
      </c>
      <c r="L67" t="s">
        <v>4292</v>
      </c>
      <c r="M67" s="3" t="s">
        <v>4278</v>
      </c>
      <c r="N67">
        <v>408.5</v>
      </c>
    </row>
    <row r="68" spans="1:14" x14ac:dyDescent="0.35">
      <c r="A68" t="s">
        <v>80</v>
      </c>
      <c r="B68" t="s">
        <v>4348</v>
      </c>
      <c r="C68" t="s">
        <v>1280</v>
      </c>
      <c r="D68" s="3" t="s">
        <v>2406</v>
      </c>
      <c r="E68">
        <v>5</v>
      </c>
      <c r="F68">
        <v>127.18</v>
      </c>
      <c r="G68" t="s">
        <v>2472</v>
      </c>
      <c r="H68" s="3" t="s">
        <v>3069</v>
      </c>
      <c r="I68" s="3" t="s">
        <v>3071</v>
      </c>
      <c r="J68" t="s">
        <v>3141</v>
      </c>
      <c r="K68">
        <v>9</v>
      </c>
      <c r="L68" t="s">
        <v>4275</v>
      </c>
      <c r="M68" s="3" t="s">
        <v>4279</v>
      </c>
      <c r="N68">
        <v>635.9</v>
      </c>
    </row>
    <row r="69" spans="1:14" x14ac:dyDescent="0.35">
      <c r="A69" t="s">
        <v>81</v>
      </c>
      <c r="B69" t="s">
        <v>4349</v>
      </c>
      <c r="C69" t="s">
        <v>1281</v>
      </c>
      <c r="D69" s="3" t="s">
        <v>2407</v>
      </c>
      <c r="E69">
        <v>4</v>
      </c>
      <c r="F69">
        <v>12.1</v>
      </c>
      <c r="G69" t="s">
        <v>2473</v>
      </c>
      <c r="H69" s="3" t="s">
        <v>3065</v>
      </c>
      <c r="I69" s="3" t="s">
        <v>3071</v>
      </c>
      <c r="J69" t="s">
        <v>3142</v>
      </c>
      <c r="K69">
        <v>8</v>
      </c>
      <c r="L69" t="s">
        <v>4292</v>
      </c>
      <c r="M69" s="3" t="s">
        <v>4282</v>
      </c>
      <c r="N69">
        <v>48.4</v>
      </c>
    </row>
    <row r="70" spans="1:14" x14ac:dyDescent="0.35">
      <c r="A70" t="s">
        <v>82</v>
      </c>
      <c r="B70" t="s">
        <v>4350</v>
      </c>
      <c r="C70" t="s">
        <v>1282</v>
      </c>
      <c r="D70" s="3" t="s">
        <v>2406</v>
      </c>
      <c r="E70">
        <v>3</v>
      </c>
      <c r="F70">
        <v>490.92</v>
      </c>
      <c r="G70" t="s">
        <v>2435</v>
      </c>
      <c r="H70" s="3" t="s">
        <v>3067</v>
      </c>
      <c r="I70" s="3" t="s">
        <v>3074</v>
      </c>
      <c r="J70" t="s">
        <v>3143</v>
      </c>
      <c r="K70">
        <v>5</v>
      </c>
      <c r="L70" t="s">
        <v>4276</v>
      </c>
      <c r="M70" s="3" t="s">
        <v>4280</v>
      </c>
      <c r="N70">
        <v>1472.76</v>
      </c>
    </row>
    <row r="71" spans="1:14" x14ac:dyDescent="0.35">
      <c r="A71" t="s">
        <v>83</v>
      </c>
      <c r="B71" t="s">
        <v>4351</v>
      </c>
      <c r="C71" t="s">
        <v>1283</v>
      </c>
      <c r="D71" s="3" t="s">
        <v>2403</v>
      </c>
      <c r="E71">
        <v>3</v>
      </c>
      <c r="F71">
        <v>478.65</v>
      </c>
      <c r="G71" t="s">
        <v>2474</v>
      </c>
      <c r="H71" s="3" t="s">
        <v>3066</v>
      </c>
      <c r="I71" s="3" t="s">
        <v>3070</v>
      </c>
      <c r="J71" t="s">
        <v>3144</v>
      </c>
      <c r="K71">
        <v>4</v>
      </c>
      <c r="L71" t="s">
        <v>4292</v>
      </c>
      <c r="M71" s="3" t="s">
        <v>4279</v>
      </c>
      <c r="N71">
        <v>1435.95</v>
      </c>
    </row>
    <row r="72" spans="1:14" x14ac:dyDescent="0.35">
      <c r="A72" t="s">
        <v>84</v>
      </c>
      <c r="B72" t="s">
        <v>4352</v>
      </c>
      <c r="C72" t="s">
        <v>1284</v>
      </c>
      <c r="D72" s="3" t="s">
        <v>2409</v>
      </c>
      <c r="E72">
        <v>1</v>
      </c>
      <c r="F72">
        <v>629.21</v>
      </c>
      <c r="G72" t="s">
        <v>2475</v>
      </c>
      <c r="H72" s="3" t="s">
        <v>3068</v>
      </c>
      <c r="I72" s="3" t="s">
        <v>3074</v>
      </c>
      <c r="J72" t="s">
        <v>3145</v>
      </c>
      <c r="K72">
        <v>2</v>
      </c>
      <c r="L72" t="s">
        <v>4276</v>
      </c>
      <c r="M72" s="3" t="s">
        <v>4278</v>
      </c>
      <c r="N72">
        <v>629.21</v>
      </c>
    </row>
    <row r="73" spans="1:14" x14ac:dyDescent="0.35">
      <c r="A73" t="s">
        <v>85</v>
      </c>
      <c r="B73" t="s">
        <v>4353</v>
      </c>
      <c r="C73" t="s">
        <v>1285</v>
      </c>
      <c r="D73" s="3" t="s">
        <v>2403</v>
      </c>
      <c r="E73">
        <v>3</v>
      </c>
      <c r="F73">
        <v>434.45</v>
      </c>
      <c r="G73" t="s">
        <v>2476</v>
      </c>
      <c r="H73" s="3" t="s">
        <v>3067</v>
      </c>
      <c r="I73" s="3" t="s">
        <v>3074</v>
      </c>
      <c r="J73" t="s">
        <v>3146</v>
      </c>
      <c r="K73">
        <v>4</v>
      </c>
      <c r="L73" t="s">
        <v>4292</v>
      </c>
      <c r="M73" s="3" t="s">
        <v>4279</v>
      </c>
      <c r="N73">
        <v>1303.3499999999999</v>
      </c>
    </row>
    <row r="74" spans="1:14" x14ac:dyDescent="0.35">
      <c r="A74" t="s">
        <v>86</v>
      </c>
      <c r="B74" t="s">
        <v>4354</v>
      </c>
      <c r="C74" t="s">
        <v>1286</v>
      </c>
      <c r="D74" s="3" t="s">
        <v>2405</v>
      </c>
      <c r="E74">
        <v>4</v>
      </c>
      <c r="F74">
        <v>589.44000000000005</v>
      </c>
      <c r="G74" t="s">
        <v>2425</v>
      </c>
      <c r="H74" s="3" t="s">
        <v>3068</v>
      </c>
      <c r="I74" s="3" t="s">
        <v>3072</v>
      </c>
      <c r="J74" t="s">
        <v>3147</v>
      </c>
      <c r="K74">
        <v>5</v>
      </c>
      <c r="L74" t="s">
        <v>4292</v>
      </c>
      <c r="M74" s="3" t="s">
        <v>4281</v>
      </c>
      <c r="N74">
        <v>2357.7600000000002</v>
      </c>
    </row>
    <row r="75" spans="1:14" x14ac:dyDescent="0.35">
      <c r="A75" t="s">
        <v>87</v>
      </c>
      <c r="B75" t="s">
        <v>4355</v>
      </c>
      <c r="C75" t="s">
        <v>1287</v>
      </c>
      <c r="D75" s="3" t="s">
        <v>2403</v>
      </c>
      <c r="E75">
        <v>4</v>
      </c>
      <c r="F75">
        <v>433.45</v>
      </c>
      <c r="G75" t="s">
        <v>2477</v>
      </c>
      <c r="H75" s="3" t="s">
        <v>3068</v>
      </c>
      <c r="I75" s="3" t="s">
        <v>3071</v>
      </c>
      <c r="J75" t="s">
        <v>3148</v>
      </c>
      <c r="K75">
        <v>4</v>
      </c>
      <c r="L75" t="s">
        <v>4292</v>
      </c>
      <c r="M75" s="3" t="s">
        <v>4281</v>
      </c>
      <c r="N75">
        <v>1733.8</v>
      </c>
    </row>
    <row r="76" spans="1:14" x14ac:dyDescent="0.35">
      <c r="A76" t="s">
        <v>88</v>
      </c>
      <c r="B76" t="s">
        <v>4356</v>
      </c>
      <c r="C76" t="s">
        <v>1288</v>
      </c>
      <c r="D76" s="3" t="s">
        <v>2404</v>
      </c>
      <c r="E76">
        <v>5</v>
      </c>
      <c r="F76">
        <v>90.87</v>
      </c>
      <c r="G76" t="s">
        <v>2478</v>
      </c>
      <c r="H76" s="3" t="s">
        <v>3069</v>
      </c>
      <c r="I76" s="3" t="s">
        <v>3074</v>
      </c>
      <c r="J76" t="s">
        <v>3149</v>
      </c>
      <c r="K76">
        <v>5</v>
      </c>
      <c r="L76" t="s">
        <v>4292</v>
      </c>
      <c r="M76" s="3" t="s">
        <v>4278</v>
      </c>
      <c r="N76">
        <v>454.35</v>
      </c>
    </row>
    <row r="77" spans="1:14" x14ac:dyDescent="0.35">
      <c r="A77" t="s">
        <v>89</v>
      </c>
      <c r="B77" t="s">
        <v>4357</v>
      </c>
      <c r="C77" t="s">
        <v>1289</v>
      </c>
      <c r="D77" s="3" t="s">
        <v>2405</v>
      </c>
      <c r="E77">
        <v>3</v>
      </c>
      <c r="F77">
        <v>398.17</v>
      </c>
      <c r="G77" t="s">
        <v>2479</v>
      </c>
      <c r="H77" s="3" t="s">
        <v>3065</v>
      </c>
      <c r="I77" s="3" t="s">
        <v>3073</v>
      </c>
      <c r="J77" t="s">
        <v>3150</v>
      </c>
      <c r="K77">
        <v>5</v>
      </c>
      <c r="L77" t="s">
        <v>4275</v>
      </c>
      <c r="M77" s="3" t="s">
        <v>4280</v>
      </c>
      <c r="N77">
        <v>1194.51</v>
      </c>
    </row>
    <row r="78" spans="1:14" x14ac:dyDescent="0.35">
      <c r="A78" t="s">
        <v>90</v>
      </c>
      <c r="B78" t="s">
        <v>4358</v>
      </c>
      <c r="C78" t="s">
        <v>1290</v>
      </c>
      <c r="D78" s="3" t="s">
        <v>2408</v>
      </c>
      <c r="E78">
        <v>4</v>
      </c>
      <c r="F78">
        <v>382.88</v>
      </c>
      <c r="G78" t="s">
        <v>2480</v>
      </c>
      <c r="H78" s="3" t="s">
        <v>3069</v>
      </c>
      <c r="I78" s="3" t="s">
        <v>3071</v>
      </c>
      <c r="J78" t="s">
        <v>3151</v>
      </c>
      <c r="K78">
        <v>6</v>
      </c>
      <c r="L78" t="s">
        <v>4277</v>
      </c>
      <c r="M78" s="3" t="s">
        <v>4280</v>
      </c>
      <c r="N78">
        <v>1531.52</v>
      </c>
    </row>
    <row r="79" spans="1:14" x14ac:dyDescent="0.35">
      <c r="A79" t="s">
        <v>91</v>
      </c>
      <c r="B79" t="s">
        <v>4359</v>
      </c>
      <c r="C79" t="s">
        <v>1291</v>
      </c>
      <c r="D79" s="3" t="s">
        <v>2404</v>
      </c>
      <c r="E79">
        <v>1</v>
      </c>
      <c r="F79">
        <v>583.17999999999995</v>
      </c>
      <c r="G79" t="s">
        <v>2481</v>
      </c>
      <c r="H79" s="3" t="s">
        <v>3067</v>
      </c>
      <c r="I79" s="3" t="s">
        <v>3072</v>
      </c>
      <c r="J79" t="s">
        <v>3152</v>
      </c>
      <c r="K79">
        <v>5</v>
      </c>
      <c r="L79" t="s">
        <v>4292</v>
      </c>
      <c r="M79" s="3" t="s">
        <v>4282</v>
      </c>
      <c r="N79">
        <v>583.17999999999995</v>
      </c>
    </row>
    <row r="80" spans="1:14" x14ac:dyDescent="0.35">
      <c r="A80" t="s">
        <v>92</v>
      </c>
      <c r="B80" t="s">
        <v>4360</v>
      </c>
      <c r="C80" t="s">
        <v>1292</v>
      </c>
      <c r="D80" s="3" t="s">
        <v>2407</v>
      </c>
      <c r="E80">
        <v>4</v>
      </c>
      <c r="F80">
        <v>175.36</v>
      </c>
      <c r="G80" t="s">
        <v>2482</v>
      </c>
      <c r="H80" s="3" t="s">
        <v>3065</v>
      </c>
      <c r="I80" s="3" t="s">
        <v>3073</v>
      </c>
      <c r="J80" t="s">
        <v>3153</v>
      </c>
      <c r="K80">
        <v>4</v>
      </c>
      <c r="L80" t="s">
        <v>4276</v>
      </c>
      <c r="M80" s="3" t="s">
        <v>4278</v>
      </c>
      <c r="N80">
        <v>701.44</v>
      </c>
    </row>
    <row r="81" spans="1:14" x14ac:dyDescent="0.35">
      <c r="A81" t="s">
        <v>93</v>
      </c>
      <c r="B81" t="s">
        <v>4361</v>
      </c>
      <c r="C81" t="s">
        <v>1293</v>
      </c>
      <c r="D81" s="3" t="s">
        <v>2405</v>
      </c>
      <c r="E81">
        <v>2</v>
      </c>
      <c r="F81">
        <v>311.91000000000003</v>
      </c>
      <c r="G81" t="s">
        <v>2483</v>
      </c>
      <c r="H81" s="3" t="s">
        <v>3066</v>
      </c>
      <c r="I81" s="3" t="s">
        <v>3070</v>
      </c>
      <c r="J81" t="s">
        <v>3154</v>
      </c>
      <c r="K81">
        <v>2</v>
      </c>
      <c r="L81" t="s">
        <v>4292</v>
      </c>
      <c r="M81" s="3" t="s">
        <v>4281</v>
      </c>
      <c r="N81">
        <v>623.82000000000005</v>
      </c>
    </row>
    <row r="82" spans="1:14" x14ac:dyDescent="0.35">
      <c r="A82" t="s">
        <v>94</v>
      </c>
      <c r="B82" t="s">
        <v>4362</v>
      </c>
      <c r="C82" t="s">
        <v>1294</v>
      </c>
      <c r="D82" s="3" t="s">
        <v>2404</v>
      </c>
      <c r="E82">
        <v>3</v>
      </c>
      <c r="F82">
        <v>589.55999999999995</v>
      </c>
      <c r="G82" t="s">
        <v>2484</v>
      </c>
      <c r="H82" s="3" t="s">
        <v>3066</v>
      </c>
      <c r="I82" s="3" t="s">
        <v>3072</v>
      </c>
      <c r="J82" t="s">
        <v>3155</v>
      </c>
      <c r="K82">
        <v>6</v>
      </c>
      <c r="L82" t="s">
        <v>4292</v>
      </c>
      <c r="M82" s="3" t="s">
        <v>4281</v>
      </c>
      <c r="N82">
        <v>1768.68</v>
      </c>
    </row>
    <row r="83" spans="1:14" x14ac:dyDescent="0.35">
      <c r="A83" t="s">
        <v>95</v>
      </c>
      <c r="B83" t="s">
        <v>4363</v>
      </c>
      <c r="C83" t="s">
        <v>1295</v>
      </c>
      <c r="D83" s="3" t="s">
        <v>2403</v>
      </c>
      <c r="E83">
        <v>2</v>
      </c>
      <c r="F83">
        <v>394.3</v>
      </c>
      <c r="G83" t="s">
        <v>2485</v>
      </c>
      <c r="H83" s="3" t="s">
        <v>3069</v>
      </c>
      <c r="I83" s="3" t="s">
        <v>3070</v>
      </c>
      <c r="J83" t="s">
        <v>3156</v>
      </c>
      <c r="K83">
        <v>6</v>
      </c>
      <c r="L83" t="s">
        <v>4276</v>
      </c>
      <c r="M83" s="3" t="s">
        <v>4280</v>
      </c>
      <c r="N83">
        <v>788.6</v>
      </c>
    </row>
    <row r="84" spans="1:14" x14ac:dyDescent="0.35">
      <c r="A84" t="s">
        <v>96</v>
      </c>
      <c r="B84" t="s">
        <v>4364</v>
      </c>
      <c r="C84" t="s">
        <v>1296</v>
      </c>
      <c r="D84" s="3" t="s">
        <v>2405</v>
      </c>
      <c r="E84">
        <v>4</v>
      </c>
      <c r="F84">
        <v>565.20000000000005</v>
      </c>
      <c r="G84" t="s">
        <v>2486</v>
      </c>
      <c r="H84" s="3" t="s">
        <v>3065</v>
      </c>
      <c r="I84" s="3" t="s">
        <v>3070</v>
      </c>
      <c r="J84" t="s">
        <v>3157</v>
      </c>
      <c r="K84">
        <v>9</v>
      </c>
      <c r="L84" t="s">
        <v>4275</v>
      </c>
      <c r="M84" s="3" t="s">
        <v>4282</v>
      </c>
      <c r="N84">
        <v>2260.8000000000002</v>
      </c>
    </row>
    <row r="85" spans="1:14" x14ac:dyDescent="0.35">
      <c r="A85" t="s">
        <v>97</v>
      </c>
      <c r="B85" t="s">
        <v>4344</v>
      </c>
      <c r="C85" t="s">
        <v>1297</v>
      </c>
      <c r="D85" s="3" t="s">
        <v>2408</v>
      </c>
      <c r="E85">
        <v>4</v>
      </c>
      <c r="F85">
        <v>540.41</v>
      </c>
      <c r="G85" t="s">
        <v>2487</v>
      </c>
      <c r="H85" s="3" t="s">
        <v>3067</v>
      </c>
      <c r="I85" s="3" t="s">
        <v>3071</v>
      </c>
      <c r="J85" t="s">
        <v>3158</v>
      </c>
      <c r="K85">
        <v>6</v>
      </c>
      <c r="L85" t="s">
        <v>4292</v>
      </c>
      <c r="M85" s="3" t="s">
        <v>4279</v>
      </c>
      <c r="N85">
        <v>2161.64</v>
      </c>
    </row>
    <row r="86" spans="1:14" x14ac:dyDescent="0.35">
      <c r="A86" t="s">
        <v>98</v>
      </c>
      <c r="B86" t="s">
        <v>4365</v>
      </c>
      <c r="C86" t="s">
        <v>1298</v>
      </c>
      <c r="D86" s="3" t="s">
        <v>2403</v>
      </c>
      <c r="E86">
        <v>2</v>
      </c>
      <c r="F86">
        <v>165.49</v>
      </c>
      <c r="G86" t="s">
        <v>2488</v>
      </c>
      <c r="H86" s="3" t="s">
        <v>3066</v>
      </c>
      <c r="I86" s="3" t="s">
        <v>3070</v>
      </c>
      <c r="J86" t="s">
        <v>3159</v>
      </c>
      <c r="K86">
        <v>4</v>
      </c>
      <c r="L86" t="s">
        <v>4277</v>
      </c>
      <c r="M86" s="3" t="s">
        <v>4278</v>
      </c>
      <c r="N86">
        <v>330.98</v>
      </c>
    </row>
    <row r="87" spans="1:14" x14ac:dyDescent="0.35">
      <c r="A87" t="s">
        <v>99</v>
      </c>
      <c r="B87" t="s">
        <v>4366</v>
      </c>
      <c r="C87" t="s">
        <v>1299</v>
      </c>
      <c r="D87" s="3" t="s">
        <v>2405</v>
      </c>
      <c r="E87">
        <v>3</v>
      </c>
      <c r="F87">
        <v>146.72999999999999</v>
      </c>
      <c r="G87" t="s">
        <v>2489</v>
      </c>
      <c r="H87" s="3" t="s">
        <v>3069</v>
      </c>
      <c r="I87" s="3" t="s">
        <v>3073</v>
      </c>
      <c r="J87" t="s">
        <v>3160</v>
      </c>
      <c r="K87">
        <v>8</v>
      </c>
      <c r="L87" t="s">
        <v>4276</v>
      </c>
      <c r="M87" s="3" t="s">
        <v>4280</v>
      </c>
      <c r="N87">
        <v>440.19</v>
      </c>
    </row>
    <row r="88" spans="1:14" x14ac:dyDescent="0.35">
      <c r="A88" t="s">
        <v>100</v>
      </c>
      <c r="B88" t="s">
        <v>4367</v>
      </c>
      <c r="C88" t="s">
        <v>1300</v>
      </c>
      <c r="D88" s="3" t="s">
        <v>2407</v>
      </c>
      <c r="E88">
        <v>5</v>
      </c>
      <c r="F88">
        <v>643.03</v>
      </c>
      <c r="G88" t="s">
        <v>2490</v>
      </c>
      <c r="H88" s="3" t="s">
        <v>3066</v>
      </c>
      <c r="I88" s="3" t="s">
        <v>3071</v>
      </c>
      <c r="J88" t="s">
        <v>3161</v>
      </c>
      <c r="K88">
        <v>5</v>
      </c>
      <c r="L88" t="s">
        <v>4276</v>
      </c>
      <c r="M88" s="3" t="s">
        <v>4279</v>
      </c>
      <c r="N88">
        <v>3215.15</v>
      </c>
    </row>
    <row r="89" spans="1:14" x14ac:dyDescent="0.35">
      <c r="A89" t="s">
        <v>101</v>
      </c>
      <c r="B89" t="s">
        <v>4368</v>
      </c>
      <c r="C89" t="s">
        <v>1301</v>
      </c>
      <c r="D89" s="3" t="s">
        <v>2405</v>
      </c>
      <c r="E89">
        <v>3</v>
      </c>
      <c r="F89">
        <v>225.11</v>
      </c>
      <c r="G89" t="s">
        <v>2491</v>
      </c>
      <c r="H89" s="3" t="s">
        <v>3069</v>
      </c>
      <c r="I89" s="3" t="s">
        <v>3070</v>
      </c>
      <c r="J89" t="s">
        <v>3162</v>
      </c>
      <c r="K89">
        <v>4</v>
      </c>
      <c r="L89" t="s">
        <v>4275</v>
      </c>
      <c r="M89" s="3" t="s">
        <v>4281</v>
      </c>
      <c r="N89">
        <v>675.33</v>
      </c>
    </row>
    <row r="90" spans="1:14" x14ac:dyDescent="0.35">
      <c r="A90" t="s">
        <v>102</v>
      </c>
      <c r="B90" t="s">
        <v>4369</v>
      </c>
      <c r="C90" t="s">
        <v>1302</v>
      </c>
      <c r="D90" s="3" t="s">
        <v>2409</v>
      </c>
      <c r="E90">
        <v>3</v>
      </c>
      <c r="F90">
        <v>114.81</v>
      </c>
      <c r="G90" t="s">
        <v>2492</v>
      </c>
      <c r="H90" s="3" t="s">
        <v>3068</v>
      </c>
      <c r="I90" s="3" t="s">
        <v>3071</v>
      </c>
      <c r="J90" t="s">
        <v>3163</v>
      </c>
      <c r="K90">
        <v>7</v>
      </c>
      <c r="L90" t="s">
        <v>4292</v>
      </c>
      <c r="M90" s="3" t="s">
        <v>4282</v>
      </c>
      <c r="N90">
        <v>344.43</v>
      </c>
    </row>
    <row r="91" spans="1:14" x14ac:dyDescent="0.35">
      <c r="A91" t="s">
        <v>103</v>
      </c>
      <c r="B91" t="s">
        <v>4370</v>
      </c>
      <c r="C91" t="s">
        <v>1303</v>
      </c>
      <c r="D91" s="3" t="s">
        <v>2407</v>
      </c>
      <c r="E91">
        <v>5</v>
      </c>
      <c r="F91">
        <v>455.33</v>
      </c>
      <c r="G91" t="s">
        <v>2493</v>
      </c>
      <c r="H91" s="3" t="s">
        <v>3067</v>
      </c>
      <c r="I91" s="3" t="s">
        <v>3071</v>
      </c>
      <c r="J91" t="s">
        <v>3164</v>
      </c>
      <c r="K91">
        <v>8</v>
      </c>
      <c r="L91" t="s">
        <v>4276</v>
      </c>
      <c r="M91" s="3" t="s">
        <v>4282</v>
      </c>
      <c r="N91">
        <v>2276.65</v>
      </c>
    </row>
    <row r="92" spans="1:14" x14ac:dyDescent="0.35">
      <c r="A92" t="s">
        <v>104</v>
      </c>
      <c r="B92" t="s">
        <v>4371</v>
      </c>
      <c r="C92" t="s">
        <v>1304</v>
      </c>
      <c r="D92" s="3" t="s">
        <v>2406</v>
      </c>
      <c r="E92">
        <v>4</v>
      </c>
      <c r="F92">
        <v>182.08</v>
      </c>
      <c r="G92" t="s">
        <v>2494</v>
      </c>
      <c r="H92" s="3" t="s">
        <v>3068</v>
      </c>
      <c r="I92" s="3" t="s">
        <v>3073</v>
      </c>
      <c r="J92" t="s">
        <v>3165</v>
      </c>
      <c r="K92">
        <v>4</v>
      </c>
      <c r="L92" t="s">
        <v>4275</v>
      </c>
      <c r="M92" s="3" t="s">
        <v>4280</v>
      </c>
      <c r="N92">
        <v>728.32</v>
      </c>
    </row>
    <row r="93" spans="1:14" x14ac:dyDescent="0.35">
      <c r="A93" t="s">
        <v>105</v>
      </c>
      <c r="B93" t="s">
        <v>4372</v>
      </c>
      <c r="C93" t="s">
        <v>1305</v>
      </c>
      <c r="D93" s="3" t="s">
        <v>2408</v>
      </c>
      <c r="E93">
        <v>5</v>
      </c>
      <c r="F93">
        <v>492.75</v>
      </c>
      <c r="G93" t="s">
        <v>2495</v>
      </c>
      <c r="H93" s="3" t="s">
        <v>3069</v>
      </c>
      <c r="I93" s="3" t="s">
        <v>3070</v>
      </c>
      <c r="J93" t="s">
        <v>3166</v>
      </c>
      <c r="K93">
        <v>6</v>
      </c>
      <c r="L93" t="s">
        <v>4277</v>
      </c>
      <c r="M93" s="3" t="s">
        <v>4279</v>
      </c>
      <c r="N93">
        <v>2463.75</v>
      </c>
    </row>
    <row r="94" spans="1:14" x14ac:dyDescent="0.35">
      <c r="A94" t="s">
        <v>106</v>
      </c>
      <c r="B94" t="s">
        <v>4373</v>
      </c>
      <c r="C94" t="s">
        <v>1306</v>
      </c>
      <c r="D94" s="3" t="s">
        <v>2407</v>
      </c>
      <c r="E94">
        <v>4</v>
      </c>
      <c r="F94">
        <v>48.61</v>
      </c>
      <c r="G94" t="s">
        <v>2496</v>
      </c>
      <c r="H94" s="3" t="s">
        <v>3066</v>
      </c>
      <c r="I94" s="3" t="s">
        <v>3070</v>
      </c>
      <c r="J94" t="s">
        <v>3167</v>
      </c>
      <c r="K94">
        <v>7</v>
      </c>
      <c r="L94" t="s">
        <v>4276</v>
      </c>
      <c r="M94" s="3" t="s">
        <v>4281</v>
      </c>
      <c r="N94">
        <v>194.44</v>
      </c>
    </row>
    <row r="95" spans="1:14" x14ac:dyDescent="0.35">
      <c r="A95" t="s">
        <v>107</v>
      </c>
      <c r="B95" t="s">
        <v>4374</v>
      </c>
      <c r="C95" t="s">
        <v>1307</v>
      </c>
      <c r="D95" s="3" t="s">
        <v>2409</v>
      </c>
      <c r="E95">
        <v>4</v>
      </c>
      <c r="F95">
        <v>431.01</v>
      </c>
      <c r="G95" t="s">
        <v>2497</v>
      </c>
      <c r="H95" s="3" t="s">
        <v>3067</v>
      </c>
      <c r="I95" s="3" t="s">
        <v>3072</v>
      </c>
      <c r="J95" t="s">
        <v>3168</v>
      </c>
      <c r="K95">
        <v>7</v>
      </c>
      <c r="L95" t="s">
        <v>4292</v>
      </c>
      <c r="M95" s="3" t="s">
        <v>4279</v>
      </c>
      <c r="N95">
        <v>1724.04</v>
      </c>
    </row>
    <row r="96" spans="1:14" x14ac:dyDescent="0.35">
      <c r="A96" t="s">
        <v>108</v>
      </c>
      <c r="B96" t="s">
        <v>4375</v>
      </c>
      <c r="C96" t="s">
        <v>1308</v>
      </c>
      <c r="D96" s="3" t="s">
        <v>2406</v>
      </c>
      <c r="E96">
        <v>1</v>
      </c>
      <c r="F96">
        <v>531.17999999999995</v>
      </c>
      <c r="G96" t="s">
        <v>2498</v>
      </c>
      <c r="H96" s="3" t="s">
        <v>3068</v>
      </c>
      <c r="I96" s="3" t="s">
        <v>3072</v>
      </c>
      <c r="J96" t="s">
        <v>3169</v>
      </c>
      <c r="K96">
        <v>6</v>
      </c>
      <c r="L96" t="s">
        <v>4277</v>
      </c>
      <c r="M96" s="3" t="s">
        <v>4278</v>
      </c>
      <c r="N96">
        <v>531.17999999999995</v>
      </c>
    </row>
    <row r="97" spans="1:14" x14ac:dyDescent="0.35">
      <c r="A97" t="s">
        <v>109</v>
      </c>
      <c r="B97" t="s">
        <v>4376</v>
      </c>
      <c r="C97" t="s">
        <v>1309</v>
      </c>
      <c r="D97" s="3" t="s">
        <v>2407</v>
      </c>
      <c r="E97">
        <v>4</v>
      </c>
      <c r="F97">
        <v>117.51</v>
      </c>
      <c r="G97" t="s">
        <v>2499</v>
      </c>
      <c r="H97" s="3" t="s">
        <v>3065</v>
      </c>
      <c r="I97" s="3" t="s">
        <v>3072</v>
      </c>
      <c r="J97" t="s">
        <v>3170</v>
      </c>
      <c r="K97">
        <v>7</v>
      </c>
      <c r="L97" t="s">
        <v>4292</v>
      </c>
      <c r="M97" s="3" t="s">
        <v>4279</v>
      </c>
      <c r="N97">
        <v>470.04</v>
      </c>
    </row>
    <row r="98" spans="1:14" x14ac:dyDescent="0.35">
      <c r="A98" t="s">
        <v>110</v>
      </c>
      <c r="B98" t="s">
        <v>4377</v>
      </c>
      <c r="C98" t="s">
        <v>1310</v>
      </c>
      <c r="D98" s="3" t="s">
        <v>2404</v>
      </c>
      <c r="E98">
        <v>2</v>
      </c>
      <c r="F98">
        <v>232.83</v>
      </c>
      <c r="G98" t="s">
        <v>2483</v>
      </c>
      <c r="H98" s="3" t="s">
        <v>3068</v>
      </c>
      <c r="I98" s="3" t="s">
        <v>3073</v>
      </c>
      <c r="J98" t="s">
        <v>3171</v>
      </c>
      <c r="K98">
        <v>7</v>
      </c>
      <c r="L98" t="s">
        <v>4292</v>
      </c>
      <c r="M98" s="3" t="s">
        <v>4278</v>
      </c>
      <c r="N98">
        <v>465.66</v>
      </c>
    </row>
    <row r="99" spans="1:14" x14ac:dyDescent="0.35">
      <c r="A99" t="s">
        <v>111</v>
      </c>
      <c r="B99" t="s">
        <v>4378</v>
      </c>
      <c r="C99" t="s">
        <v>1311</v>
      </c>
      <c r="D99" s="3" t="s">
        <v>2405</v>
      </c>
      <c r="E99">
        <v>5</v>
      </c>
      <c r="F99">
        <v>619.52</v>
      </c>
      <c r="G99" t="s">
        <v>2500</v>
      </c>
      <c r="H99" s="3" t="s">
        <v>3065</v>
      </c>
      <c r="I99" s="3" t="s">
        <v>3074</v>
      </c>
      <c r="J99" t="s">
        <v>3172</v>
      </c>
      <c r="K99">
        <v>9</v>
      </c>
      <c r="L99" t="s">
        <v>4292</v>
      </c>
      <c r="M99" s="3" t="s">
        <v>4280</v>
      </c>
      <c r="N99">
        <v>3097.6</v>
      </c>
    </row>
    <row r="100" spans="1:14" x14ac:dyDescent="0.35">
      <c r="A100" t="s">
        <v>112</v>
      </c>
      <c r="B100" t="s">
        <v>4374</v>
      </c>
      <c r="C100" t="s">
        <v>1312</v>
      </c>
      <c r="D100" s="3" t="s">
        <v>2407</v>
      </c>
      <c r="E100">
        <v>2</v>
      </c>
      <c r="F100">
        <v>228.54</v>
      </c>
      <c r="G100" t="s">
        <v>2501</v>
      </c>
      <c r="H100" s="3" t="s">
        <v>3065</v>
      </c>
      <c r="I100" s="3" t="s">
        <v>3074</v>
      </c>
      <c r="J100" t="s">
        <v>3173</v>
      </c>
      <c r="K100">
        <v>3</v>
      </c>
      <c r="L100" t="s">
        <v>4292</v>
      </c>
      <c r="M100" s="3" t="s">
        <v>4280</v>
      </c>
      <c r="N100">
        <v>457.08</v>
      </c>
    </row>
    <row r="101" spans="1:14" x14ac:dyDescent="0.35">
      <c r="A101" t="s">
        <v>113</v>
      </c>
      <c r="B101" t="s">
        <v>4379</v>
      </c>
      <c r="C101" t="s">
        <v>1313</v>
      </c>
      <c r="D101" s="3" t="s">
        <v>2407</v>
      </c>
      <c r="E101">
        <v>1</v>
      </c>
      <c r="F101">
        <v>201.58</v>
      </c>
      <c r="G101" t="s">
        <v>2502</v>
      </c>
      <c r="H101" s="3" t="s">
        <v>3065</v>
      </c>
      <c r="I101" s="3" t="s">
        <v>3071</v>
      </c>
      <c r="J101" t="s">
        <v>3174</v>
      </c>
      <c r="K101">
        <v>2</v>
      </c>
      <c r="L101" t="s">
        <v>4277</v>
      </c>
      <c r="M101" s="3" t="s">
        <v>4280</v>
      </c>
      <c r="N101">
        <v>201.58</v>
      </c>
    </row>
    <row r="102" spans="1:14" x14ac:dyDescent="0.35">
      <c r="A102" t="s">
        <v>114</v>
      </c>
      <c r="B102" t="s">
        <v>4380</v>
      </c>
      <c r="C102" t="s">
        <v>1314</v>
      </c>
      <c r="D102" s="3" t="s">
        <v>2404</v>
      </c>
      <c r="E102">
        <v>3</v>
      </c>
      <c r="F102">
        <v>664.79</v>
      </c>
      <c r="G102" t="s">
        <v>2503</v>
      </c>
      <c r="H102" s="3" t="s">
        <v>3066</v>
      </c>
      <c r="I102" s="3" t="s">
        <v>3073</v>
      </c>
      <c r="J102" t="s">
        <v>3175</v>
      </c>
      <c r="K102">
        <v>6</v>
      </c>
      <c r="L102" t="s">
        <v>4292</v>
      </c>
      <c r="M102" s="3" t="s">
        <v>4281</v>
      </c>
      <c r="N102">
        <v>1994.37</v>
      </c>
    </row>
    <row r="103" spans="1:14" x14ac:dyDescent="0.35">
      <c r="A103" t="s">
        <v>115</v>
      </c>
      <c r="B103" t="s">
        <v>4381</v>
      </c>
      <c r="C103" t="s">
        <v>1315</v>
      </c>
      <c r="D103" s="3" t="s">
        <v>2407</v>
      </c>
      <c r="E103">
        <v>1</v>
      </c>
      <c r="F103">
        <v>381.02</v>
      </c>
      <c r="G103" t="s">
        <v>2504</v>
      </c>
      <c r="H103" s="3" t="s">
        <v>3069</v>
      </c>
      <c r="I103" s="3" t="s">
        <v>3070</v>
      </c>
      <c r="J103" t="s">
        <v>3176</v>
      </c>
      <c r="K103">
        <v>6</v>
      </c>
      <c r="L103" t="s">
        <v>4292</v>
      </c>
      <c r="M103" s="3" t="s">
        <v>4282</v>
      </c>
      <c r="N103">
        <v>381.02</v>
      </c>
    </row>
    <row r="104" spans="1:14" x14ac:dyDescent="0.35">
      <c r="A104" t="s">
        <v>116</v>
      </c>
      <c r="B104" t="s">
        <v>4382</v>
      </c>
      <c r="C104" t="s">
        <v>1316</v>
      </c>
      <c r="D104" s="3" t="s">
        <v>2408</v>
      </c>
      <c r="E104">
        <v>2</v>
      </c>
      <c r="F104">
        <v>70.34</v>
      </c>
      <c r="G104" t="s">
        <v>2505</v>
      </c>
      <c r="H104" s="3" t="s">
        <v>3068</v>
      </c>
      <c r="I104" s="3" t="s">
        <v>3071</v>
      </c>
      <c r="J104" t="s">
        <v>3177</v>
      </c>
      <c r="K104">
        <v>3</v>
      </c>
      <c r="L104" t="s">
        <v>4276</v>
      </c>
      <c r="M104" s="3" t="s">
        <v>4280</v>
      </c>
      <c r="N104">
        <v>140.68</v>
      </c>
    </row>
    <row r="105" spans="1:14" x14ac:dyDescent="0.35">
      <c r="A105" t="s">
        <v>117</v>
      </c>
      <c r="B105" t="s">
        <v>4383</v>
      </c>
      <c r="C105" t="s">
        <v>1317</v>
      </c>
      <c r="D105" s="3" t="s">
        <v>2404</v>
      </c>
      <c r="E105">
        <v>4</v>
      </c>
      <c r="F105">
        <v>218.43</v>
      </c>
      <c r="G105" t="s">
        <v>2506</v>
      </c>
      <c r="H105" s="3" t="s">
        <v>3067</v>
      </c>
      <c r="I105" s="3" t="s">
        <v>3071</v>
      </c>
      <c r="J105" t="s">
        <v>3178</v>
      </c>
      <c r="K105">
        <v>9</v>
      </c>
      <c r="L105" t="s">
        <v>4275</v>
      </c>
      <c r="M105" s="3" t="s">
        <v>4280</v>
      </c>
      <c r="N105">
        <v>873.72</v>
      </c>
    </row>
    <row r="106" spans="1:14" x14ac:dyDescent="0.35">
      <c r="A106" t="s">
        <v>118</v>
      </c>
      <c r="B106" t="s">
        <v>4384</v>
      </c>
      <c r="C106" t="s">
        <v>1318</v>
      </c>
      <c r="D106" s="3" t="s">
        <v>2404</v>
      </c>
      <c r="E106">
        <v>1</v>
      </c>
      <c r="F106">
        <v>582.04</v>
      </c>
      <c r="G106" t="s">
        <v>2507</v>
      </c>
      <c r="H106" s="3" t="s">
        <v>3068</v>
      </c>
      <c r="I106" s="3" t="s">
        <v>3073</v>
      </c>
      <c r="J106" t="s">
        <v>3179</v>
      </c>
      <c r="K106">
        <v>1</v>
      </c>
      <c r="L106" t="s">
        <v>4276</v>
      </c>
      <c r="M106" s="3" t="s">
        <v>4280</v>
      </c>
      <c r="N106">
        <v>582.04</v>
      </c>
    </row>
    <row r="107" spans="1:14" x14ac:dyDescent="0.35">
      <c r="A107" t="s">
        <v>119</v>
      </c>
      <c r="B107" t="s">
        <v>4385</v>
      </c>
      <c r="C107" t="s">
        <v>1319</v>
      </c>
      <c r="D107" s="3" t="s">
        <v>2407</v>
      </c>
      <c r="E107">
        <v>3</v>
      </c>
      <c r="F107">
        <v>185.4</v>
      </c>
      <c r="G107" t="s">
        <v>2508</v>
      </c>
      <c r="H107" s="3" t="s">
        <v>3068</v>
      </c>
      <c r="I107" s="3" t="s">
        <v>3071</v>
      </c>
      <c r="J107" t="s">
        <v>3180</v>
      </c>
      <c r="K107">
        <v>7</v>
      </c>
      <c r="L107" t="s">
        <v>4292</v>
      </c>
      <c r="M107" s="3" t="s">
        <v>4281</v>
      </c>
      <c r="N107">
        <v>556.20000000000005</v>
      </c>
    </row>
    <row r="108" spans="1:14" x14ac:dyDescent="0.35">
      <c r="A108" t="s">
        <v>120</v>
      </c>
      <c r="B108" t="s">
        <v>4386</v>
      </c>
      <c r="C108" t="s">
        <v>1320</v>
      </c>
      <c r="D108" s="3" t="s">
        <v>2409</v>
      </c>
      <c r="E108">
        <v>3</v>
      </c>
      <c r="F108">
        <v>465.05</v>
      </c>
      <c r="G108" t="s">
        <v>2509</v>
      </c>
      <c r="H108" s="3" t="s">
        <v>3067</v>
      </c>
      <c r="I108" s="3" t="s">
        <v>3071</v>
      </c>
      <c r="J108" t="s">
        <v>3181</v>
      </c>
      <c r="K108">
        <v>3</v>
      </c>
      <c r="L108" t="s">
        <v>4275</v>
      </c>
      <c r="M108" s="3" t="s">
        <v>4280</v>
      </c>
      <c r="N108">
        <v>1395.15</v>
      </c>
    </row>
    <row r="109" spans="1:14" x14ac:dyDescent="0.35">
      <c r="A109" t="s">
        <v>121</v>
      </c>
      <c r="B109" t="s">
        <v>4298</v>
      </c>
      <c r="C109" t="s">
        <v>1321</v>
      </c>
      <c r="D109" s="3" t="s">
        <v>2407</v>
      </c>
      <c r="E109">
        <v>5</v>
      </c>
      <c r="F109">
        <v>670.75</v>
      </c>
      <c r="G109" t="s">
        <v>2510</v>
      </c>
      <c r="H109" s="3" t="s">
        <v>3068</v>
      </c>
      <c r="I109" s="3" t="s">
        <v>3070</v>
      </c>
      <c r="J109" t="s">
        <v>3182</v>
      </c>
      <c r="K109">
        <v>8</v>
      </c>
      <c r="L109" t="s">
        <v>4276</v>
      </c>
      <c r="M109" s="3" t="s">
        <v>4278</v>
      </c>
      <c r="N109">
        <v>3353.75</v>
      </c>
    </row>
    <row r="110" spans="1:14" x14ac:dyDescent="0.35">
      <c r="A110" t="s">
        <v>122</v>
      </c>
      <c r="B110" t="s">
        <v>4387</v>
      </c>
      <c r="C110" t="s">
        <v>1322</v>
      </c>
      <c r="D110" s="3" t="s">
        <v>2408</v>
      </c>
      <c r="E110">
        <v>5</v>
      </c>
      <c r="F110">
        <v>48.38</v>
      </c>
      <c r="G110" t="s">
        <v>2511</v>
      </c>
      <c r="H110" s="3" t="s">
        <v>3068</v>
      </c>
      <c r="I110" s="3" t="s">
        <v>3073</v>
      </c>
      <c r="J110" t="s">
        <v>3183</v>
      </c>
      <c r="K110">
        <v>9</v>
      </c>
      <c r="L110" t="s">
        <v>4277</v>
      </c>
      <c r="M110" s="3" t="s">
        <v>4280</v>
      </c>
      <c r="N110">
        <v>241.9</v>
      </c>
    </row>
    <row r="111" spans="1:14" x14ac:dyDescent="0.35">
      <c r="A111" t="s">
        <v>123</v>
      </c>
      <c r="B111" t="s">
        <v>4388</v>
      </c>
      <c r="C111" t="s">
        <v>1323</v>
      </c>
      <c r="D111" s="3" t="s">
        <v>2409</v>
      </c>
      <c r="E111">
        <v>3</v>
      </c>
      <c r="F111">
        <v>592.87</v>
      </c>
      <c r="G111" t="s">
        <v>2512</v>
      </c>
      <c r="H111" s="3" t="s">
        <v>3068</v>
      </c>
      <c r="I111" s="3" t="s">
        <v>3070</v>
      </c>
      <c r="J111" t="s">
        <v>3184</v>
      </c>
      <c r="K111">
        <v>3</v>
      </c>
      <c r="L111" t="s">
        <v>4276</v>
      </c>
      <c r="M111" s="3" t="s">
        <v>4279</v>
      </c>
      <c r="N111">
        <v>1778.61</v>
      </c>
    </row>
    <row r="112" spans="1:14" x14ac:dyDescent="0.35">
      <c r="A112" t="s">
        <v>124</v>
      </c>
      <c r="B112" t="s">
        <v>4389</v>
      </c>
      <c r="C112" t="s">
        <v>1324</v>
      </c>
      <c r="D112" s="3" t="s">
        <v>2405</v>
      </c>
      <c r="E112">
        <v>1</v>
      </c>
      <c r="F112">
        <v>220.77</v>
      </c>
      <c r="G112" t="s">
        <v>2513</v>
      </c>
      <c r="H112" s="3" t="s">
        <v>3068</v>
      </c>
      <c r="I112" s="3" t="s">
        <v>3074</v>
      </c>
      <c r="J112" t="s">
        <v>3185</v>
      </c>
      <c r="K112">
        <v>5</v>
      </c>
      <c r="L112" t="s">
        <v>4276</v>
      </c>
      <c r="M112" s="3" t="s">
        <v>4278</v>
      </c>
      <c r="N112">
        <v>220.77</v>
      </c>
    </row>
    <row r="113" spans="1:14" x14ac:dyDescent="0.35">
      <c r="A113" t="s">
        <v>125</v>
      </c>
      <c r="B113" t="s">
        <v>4390</v>
      </c>
      <c r="C113" t="s">
        <v>1325</v>
      </c>
      <c r="D113" s="3" t="s">
        <v>2409</v>
      </c>
      <c r="E113">
        <v>3</v>
      </c>
      <c r="F113">
        <v>309.22000000000003</v>
      </c>
      <c r="G113" t="s">
        <v>2514</v>
      </c>
      <c r="H113" s="3" t="s">
        <v>3066</v>
      </c>
      <c r="I113" s="3" t="s">
        <v>3071</v>
      </c>
      <c r="J113" t="s">
        <v>3186</v>
      </c>
      <c r="K113">
        <v>7</v>
      </c>
      <c r="L113" t="s">
        <v>4276</v>
      </c>
      <c r="M113" s="3" t="s">
        <v>4282</v>
      </c>
      <c r="N113">
        <v>927.66</v>
      </c>
    </row>
    <row r="114" spans="1:14" x14ac:dyDescent="0.35">
      <c r="A114" t="s">
        <v>126</v>
      </c>
      <c r="B114" t="s">
        <v>4391</v>
      </c>
      <c r="C114" t="s">
        <v>1326</v>
      </c>
      <c r="D114" s="3" t="s">
        <v>2403</v>
      </c>
      <c r="E114">
        <v>1</v>
      </c>
      <c r="F114">
        <v>410.6</v>
      </c>
      <c r="G114" t="s">
        <v>2515</v>
      </c>
      <c r="H114" s="3" t="s">
        <v>3066</v>
      </c>
      <c r="I114" s="3" t="s">
        <v>3071</v>
      </c>
      <c r="J114" t="s">
        <v>3187</v>
      </c>
      <c r="K114">
        <v>2</v>
      </c>
      <c r="L114" t="s">
        <v>4277</v>
      </c>
      <c r="M114" s="3" t="s">
        <v>4279</v>
      </c>
      <c r="N114">
        <v>410.6</v>
      </c>
    </row>
    <row r="115" spans="1:14" x14ac:dyDescent="0.35">
      <c r="A115" t="s">
        <v>127</v>
      </c>
      <c r="B115" t="s">
        <v>4392</v>
      </c>
      <c r="C115" t="s">
        <v>1327</v>
      </c>
      <c r="D115" s="3" t="s">
        <v>2408</v>
      </c>
      <c r="E115">
        <v>5</v>
      </c>
      <c r="F115">
        <v>190.08</v>
      </c>
      <c r="G115" t="s">
        <v>2516</v>
      </c>
      <c r="H115" s="3" t="s">
        <v>3069</v>
      </c>
      <c r="I115" s="3" t="s">
        <v>3070</v>
      </c>
      <c r="J115" t="s">
        <v>3188</v>
      </c>
      <c r="K115">
        <v>9</v>
      </c>
      <c r="L115" t="s">
        <v>4276</v>
      </c>
      <c r="M115" s="3" t="s">
        <v>4278</v>
      </c>
      <c r="N115">
        <v>950.4</v>
      </c>
    </row>
    <row r="116" spans="1:14" x14ac:dyDescent="0.35">
      <c r="A116" t="s">
        <v>128</v>
      </c>
      <c r="B116" t="s">
        <v>4393</v>
      </c>
      <c r="C116" t="s">
        <v>1328</v>
      </c>
      <c r="D116" s="3" t="s">
        <v>2403</v>
      </c>
      <c r="E116">
        <v>5</v>
      </c>
      <c r="F116">
        <v>498.48</v>
      </c>
      <c r="G116" t="s">
        <v>2517</v>
      </c>
      <c r="H116" s="3" t="s">
        <v>3066</v>
      </c>
      <c r="I116" s="3" t="s">
        <v>3074</v>
      </c>
      <c r="J116" t="s">
        <v>3189</v>
      </c>
      <c r="K116">
        <v>8</v>
      </c>
      <c r="L116" t="s">
        <v>4275</v>
      </c>
      <c r="M116" s="3" t="s">
        <v>4282</v>
      </c>
      <c r="N116">
        <v>2492.4</v>
      </c>
    </row>
    <row r="117" spans="1:14" x14ac:dyDescent="0.35">
      <c r="A117" t="s">
        <v>129</v>
      </c>
      <c r="B117" t="s">
        <v>4394</v>
      </c>
      <c r="C117" t="s">
        <v>1329</v>
      </c>
      <c r="D117" s="3" t="s">
        <v>2404</v>
      </c>
      <c r="E117">
        <v>5</v>
      </c>
      <c r="F117">
        <v>374.99</v>
      </c>
      <c r="G117" t="s">
        <v>2518</v>
      </c>
      <c r="H117" s="3" t="s">
        <v>3066</v>
      </c>
      <c r="I117" s="3" t="s">
        <v>3070</v>
      </c>
      <c r="J117" t="s">
        <v>3190</v>
      </c>
      <c r="K117">
        <v>9</v>
      </c>
      <c r="L117" t="s">
        <v>4275</v>
      </c>
      <c r="M117" s="3" t="s">
        <v>4281</v>
      </c>
      <c r="N117">
        <v>1874.95</v>
      </c>
    </row>
    <row r="118" spans="1:14" x14ac:dyDescent="0.35">
      <c r="A118" t="s">
        <v>130</v>
      </c>
      <c r="B118" t="s">
        <v>4395</v>
      </c>
      <c r="C118" t="s">
        <v>1330</v>
      </c>
      <c r="D118" s="3" t="s">
        <v>2407</v>
      </c>
      <c r="E118">
        <v>4</v>
      </c>
      <c r="F118">
        <v>291.35000000000002</v>
      </c>
      <c r="G118" t="s">
        <v>2519</v>
      </c>
      <c r="H118" s="3" t="s">
        <v>3067</v>
      </c>
      <c r="I118" s="3" t="s">
        <v>3071</v>
      </c>
      <c r="J118" t="s">
        <v>3191</v>
      </c>
      <c r="K118">
        <v>6</v>
      </c>
      <c r="L118" t="s">
        <v>4277</v>
      </c>
      <c r="M118" s="3" t="s">
        <v>4281</v>
      </c>
      <c r="N118">
        <v>1165.4000000000001</v>
      </c>
    </row>
    <row r="119" spans="1:14" x14ac:dyDescent="0.35">
      <c r="A119" t="s">
        <v>131</v>
      </c>
      <c r="B119" t="s">
        <v>4382</v>
      </c>
      <c r="C119" t="s">
        <v>1331</v>
      </c>
      <c r="D119" s="3" t="s">
        <v>2405</v>
      </c>
      <c r="E119">
        <v>1</v>
      </c>
      <c r="F119">
        <v>535.5</v>
      </c>
      <c r="G119" t="s">
        <v>2520</v>
      </c>
      <c r="H119" s="3" t="s">
        <v>3068</v>
      </c>
      <c r="I119" s="3" t="s">
        <v>3071</v>
      </c>
      <c r="J119" t="s">
        <v>3192</v>
      </c>
      <c r="K119">
        <v>5</v>
      </c>
      <c r="L119" t="s">
        <v>4277</v>
      </c>
      <c r="M119" s="3" t="s">
        <v>4279</v>
      </c>
      <c r="N119">
        <v>535.5</v>
      </c>
    </row>
    <row r="120" spans="1:14" x14ac:dyDescent="0.35">
      <c r="A120" t="s">
        <v>132</v>
      </c>
      <c r="B120" t="s">
        <v>4396</v>
      </c>
      <c r="C120" t="s">
        <v>1332</v>
      </c>
      <c r="D120" s="3" t="s">
        <v>2407</v>
      </c>
      <c r="E120">
        <v>5</v>
      </c>
      <c r="F120">
        <v>502.71</v>
      </c>
      <c r="G120" t="s">
        <v>2521</v>
      </c>
      <c r="H120" s="3" t="s">
        <v>3068</v>
      </c>
      <c r="I120" s="3" t="s">
        <v>3070</v>
      </c>
      <c r="J120" t="s">
        <v>3193</v>
      </c>
      <c r="K120">
        <v>7</v>
      </c>
      <c r="L120" t="s">
        <v>4276</v>
      </c>
      <c r="M120" s="3" t="s">
        <v>4282</v>
      </c>
      <c r="N120">
        <v>2513.5500000000002</v>
      </c>
    </row>
    <row r="121" spans="1:14" x14ac:dyDescent="0.35">
      <c r="A121" t="s">
        <v>133</v>
      </c>
      <c r="B121" t="s">
        <v>4397</v>
      </c>
      <c r="C121" t="s">
        <v>1333</v>
      </c>
      <c r="D121" s="3" t="s">
        <v>2409</v>
      </c>
      <c r="E121">
        <v>2</v>
      </c>
      <c r="F121">
        <v>534.66999999999996</v>
      </c>
      <c r="G121" t="s">
        <v>2522</v>
      </c>
      <c r="H121" s="3" t="s">
        <v>3065</v>
      </c>
      <c r="I121" s="3" t="s">
        <v>3070</v>
      </c>
      <c r="J121" t="s">
        <v>3194</v>
      </c>
      <c r="K121">
        <v>7</v>
      </c>
      <c r="L121" t="s">
        <v>4276</v>
      </c>
      <c r="M121" s="3" t="s">
        <v>4279</v>
      </c>
      <c r="N121">
        <v>1069.3399999999999</v>
      </c>
    </row>
    <row r="122" spans="1:14" x14ac:dyDescent="0.35">
      <c r="A122" t="s">
        <v>134</v>
      </c>
      <c r="B122" t="s">
        <v>4398</v>
      </c>
      <c r="C122" t="s">
        <v>1334</v>
      </c>
      <c r="D122" s="3" t="s">
        <v>2405</v>
      </c>
      <c r="E122">
        <v>4</v>
      </c>
      <c r="F122">
        <v>629.34</v>
      </c>
      <c r="G122" t="s">
        <v>2416</v>
      </c>
      <c r="H122" s="3" t="s">
        <v>3069</v>
      </c>
      <c r="I122" s="3" t="s">
        <v>3071</v>
      </c>
      <c r="J122" t="s">
        <v>3195</v>
      </c>
      <c r="K122">
        <v>4</v>
      </c>
      <c r="L122" t="s">
        <v>4277</v>
      </c>
      <c r="M122" s="3" t="s">
        <v>4278</v>
      </c>
      <c r="N122">
        <v>2517.36</v>
      </c>
    </row>
    <row r="123" spans="1:14" x14ac:dyDescent="0.35">
      <c r="A123" t="s">
        <v>135</v>
      </c>
      <c r="B123" t="s">
        <v>4399</v>
      </c>
      <c r="C123" t="s">
        <v>1335</v>
      </c>
      <c r="D123" s="3" t="s">
        <v>2409</v>
      </c>
      <c r="E123">
        <v>1</v>
      </c>
      <c r="F123">
        <v>410.78</v>
      </c>
      <c r="G123" t="s">
        <v>2523</v>
      </c>
      <c r="H123" s="3" t="s">
        <v>3069</v>
      </c>
      <c r="I123" s="3" t="s">
        <v>3071</v>
      </c>
      <c r="J123" t="s">
        <v>3196</v>
      </c>
      <c r="K123">
        <v>1</v>
      </c>
      <c r="L123" t="s">
        <v>4276</v>
      </c>
      <c r="M123" s="3" t="s">
        <v>4278</v>
      </c>
      <c r="N123">
        <v>410.78</v>
      </c>
    </row>
    <row r="124" spans="1:14" x14ac:dyDescent="0.35">
      <c r="A124" t="s">
        <v>136</v>
      </c>
      <c r="B124" t="s">
        <v>4400</v>
      </c>
      <c r="C124" t="s">
        <v>1336</v>
      </c>
      <c r="D124" s="3" t="s">
        <v>2408</v>
      </c>
      <c r="E124">
        <v>2</v>
      </c>
      <c r="F124">
        <v>533.02</v>
      </c>
      <c r="G124" t="s">
        <v>2524</v>
      </c>
      <c r="H124" s="3" t="s">
        <v>3068</v>
      </c>
      <c r="I124" s="3" t="s">
        <v>3070</v>
      </c>
      <c r="J124" t="s">
        <v>3197</v>
      </c>
      <c r="K124">
        <v>2</v>
      </c>
      <c r="L124" t="s">
        <v>4292</v>
      </c>
      <c r="M124" s="3" t="s">
        <v>4281</v>
      </c>
      <c r="N124">
        <v>1066.04</v>
      </c>
    </row>
    <row r="125" spans="1:14" x14ac:dyDescent="0.35">
      <c r="A125" t="s">
        <v>137</v>
      </c>
      <c r="B125" t="s">
        <v>4401</v>
      </c>
      <c r="C125" t="s">
        <v>1337</v>
      </c>
      <c r="D125" s="3" t="s">
        <v>2409</v>
      </c>
      <c r="E125">
        <v>3</v>
      </c>
      <c r="F125">
        <v>278.04000000000002</v>
      </c>
      <c r="G125" t="s">
        <v>2525</v>
      </c>
      <c r="H125" s="3" t="s">
        <v>3066</v>
      </c>
      <c r="I125" s="3" t="s">
        <v>3073</v>
      </c>
      <c r="J125" t="s">
        <v>3198</v>
      </c>
      <c r="K125">
        <v>5</v>
      </c>
      <c r="L125" t="s">
        <v>4292</v>
      </c>
      <c r="M125" s="3" t="s">
        <v>4278</v>
      </c>
      <c r="N125">
        <v>834.12</v>
      </c>
    </row>
    <row r="126" spans="1:14" x14ac:dyDescent="0.35">
      <c r="A126" t="s">
        <v>138</v>
      </c>
      <c r="B126" t="s">
        <v>4402</v>
      </c>
      <c r="C126" t="s">
        <v>1338</v>
      </c>
      <c r="D126" s="3" t="s">
        <v>2407</v>
      </c>
      <c r="E126">
        <v>4</v>
      </c>
      <c r="F126">
        <v>283.79000000000002</v>
      </c>
      <c r="G126" t="s">
        <v>2526</v>
      </c>
      <c r="H126" s="3" t="s">
        <v>3066</v>
      </c>
      <c r="I126" s="3" t="s">
        <v>3074</v>
      </c>
      <c r="J126" t="s">
        <v>3199</v>
      </c>
      <c r="K126">
        <v>8</v>
      </c>
      <c r="L126" t="s">
        <v>4292</v>
      </c>
      <c r="M126" s="3" t="s">
        <v>4282</v>
      </c>
      <c r="N126">
        <v>1135.1600000000001</v>
      </c>
    </row>
    <row r="127" spans="1:14" x14ac:dyDescent="0.35">
      <c r="A127" t="s">
        <v>139</v>
      </c>
      <c r="B127" t="s">
        <v>4403</v>
      </c>
      <c r="C127" t="s">
        <v>1339</v>
      </c>
      <c r="D127" s="3" t="s">
        <v>2404</v>
      </c>
      <c r="E127">
        <v>2</v>
      </c>
      <c r="F127">
        <v>512.65</v>
      </c>
      <c r="G127" t="s">
        <v>2527</v>
      </c>
      <c r="H127" s="3" t="s">
        <v>3067</v>
      </c>
      <c r="I127" s="3" t="s">
        <v>3070</v>
      </c>
      <c r="J127" t="s">
        <v>3200</v>
      </c>
      <c r="K127">
        <v>5</v>
      </c>
      <c r="L127" t="s">
        <v>4275</v>
      </c>
      <c r="M127" s="3" t="s">
        <v>4280</v>
      </c>
      <c r="N127">
        <v>1025.3</v>
      </c>
    </row>
    <row r="128" spans="1:14" x14ac:dyDescent="0.35">
      <c r="A128" t="s">
        <v>140</v>
      </c>
      <c r="B128" t="s">
        <v>4404</v>
      </c>
      <c r="C128" t="s">
        <v>1340</v>
      </c>
      <c r="D128" s="3" t="s">
        <v>2409</v>
      </c>
      <c r="E128">
        <v>4</v>
      </c>
      <c r="F128">
        <v>275.5</v>
      </c>
      <c r="G128" t="s">
        <v>2528</v>
      </c>
      <c r="H128" s="3" t="s">
        <v>3068</v>
      </c>
      <c r="I128" s="3" t="s">
        <v>3070</v>
      </c>
      <c r="J128" t="s">
        <v>3201</v>
      </c>
      <c r="K128">
        <v>8</v>
      </c>
      <c r="L128" t="s">
        <v>4276</v>
      </c>
      <c r="M128" s="3" t="s">
        <v>4282</v>
      </c>
      <c r="N128">
        <v>1102</v>
      </c>
    </row>
    <row r="129" spans="1:14" x14ac:dyDescent="0.35">
      <c r="A129" t="s">
        <v>141</v>
      </c>
      <c r="B129" t="s">
        <v>4405</v>
      </c>
      <c r="C129" t="s">
        <v>1341</v>
      </c>
      <c r="D129" s="3" t="s">
        <v>2409</v>
      </c>
      <c r="E129">
        <v>3</v>
      </c>
      <c r="F129">
        <v>469.32</v>
      </c>
      <c r="G129" t="s">
        <v>2529</v>
      </c>
      <c r="H129" s="3" t="s">
        <v>3065</v>
      </c>
      <c r="I129" s="3" t="s">
        <v>3070</v>
      </c>
      <c r="J129" t="s">
        <v>3202</v>
      </c>
      <c r="K129">
        <v>3</v>
      </c>
      <c r="L129" t="s">
        <v>4292</v>
      </c>
      <c r="M129" s="3" t="s">
        <v>4282</v>
      </c>
      <c r="N129">
        <v>1407.96</v>
      </c>
    </row>
    <row r="130" spans="1:14" x14ac:dyDescent="0.35">
      <c r="A130" t="s">
        <v>142</v>
      </c>
      <c r="B130" t="s">
        <v>4380</v>
      </c>
      <c r="C130" t="s">
        <v>1342</v>
      </c>
      <c r="D130" s="3" t="s">
        <v>2405</v>
      </c>
      <c r="E130">
        <v>4</v>
      </c>
      <c r="F130">
        <v>21.07</v>
      </c>
      <c r="G130" t="s">
        <v>2530</v>
      </c>
      <c r="H130" s="3" t="s">
        <v>3068</v>
      </c>
      <c r="I130" s="3" t="s">
        <v>3073</v>
      </c>
      <c r="J130" t="s">
        <v>3203</v>
      </c>
      <c r="K130">
        <v>4</v>
      </c>
      <c r="L130" t="s">
        <v>4276</v>
      </c>
      <c r="M130" s="3" t="s">
        <v>4282</v>
      </c>
      <c r="N130">
        <v>84.28</v>
      </c>
    </row>
    <row r="131" spans="1:14" x14ac:dyDescent="0.35">
      <c r="A131" t="s">
        <v>143</v>
      </c>
      <c r="B131" t="s">
        <v>4406</v>
      </c>
      <c r="C131" t="s">
        <v>1343</v>
      </c>
      <c r="D131" s="3" t="s">
        <v>2408</v>
      </c>
      <c r="E131">
        <v>4</v>
      </c>
      <c r="F131">
        <v>263.93</v>
      </c>
      <c r="G131" t="s">
        <v>2531</v>
      </c>
      <c r="H131" s="3" t="s">
        <v>3065</v>
      </c>
      <c r="I131" s="3" t="s">
        <v>3070</v>
      </c>
      <c r="J131" t="s">
        <v>3204</v>
      </c>
      <c r="K131">
        <v>4</v>
      </c>
      <c r="L131" t="s">
        <v>4276</v>
      </c>
      <c r="M131" s="3" t="s">
        <v>4281</v>
      </c>
      <c r="N131">
        <v>1055.72</v>
      </c>
    </row>
    <row r="132" spans="1:14" x14ac:dyDescent="0.35">
      <c r="A132" t="s">
        <v>144</v>
      </c>
      <c r="B132" t="s">
        <v>4407</v>
      </c>
      <c r="C132" t="s">
        <v>1344</v>
      </c>
      <c r="D132" s="3" t="s">
        <v>2409</v>
      </c>
      <c r="E132">
        <v>3</v>
      </c>
      <c r="F132">
        <v>501.3</v>
      </c>
      <c r="G132" t="s">
        <v>2532</v>
      </c>
      <c r="H132" s="3" t="s">
        <v>3066</v>
      </c>
      <c r="I132" s="3" t="s">
        <v>3071</v>
      </c>
      <c r="J132" t="s">
        <v>3205</v>
      </c>
      <c r="K132">
        <v>3</v>
      </c>
      <c r="L132" t="s">
        <v>4277</v>
      </c>
      <c r="M132" s="3" t="s">
        <v>4281</v>
      </c>
      <c r="N132">
        <v>1503.9</v>
      </c>
    </row>
    <row r="133" spans="1:14" x14ac:dyDescent="0.35">
      <c r="A133" t="s">
        <v>145</v>
      </c>
      <c r="B133" t="s">
        <v>4408</v>
      </c>
      <c r="C133" t="s">
        <v>1345</v>
      </c>
      <c r="D133" s="3" t="s">
        <v>2405</v>
      </c>
      <c r="E133">
        <v>1</v>
      </c>
      <c r="F133">
        <v>84.8</v>
      </c>
      <c r="G133" t="s">
        <v>2533</v>
      </c>
      <c r="H133" s="3" t="s">
        <v>3068</v>
      </c>
      <c r="I133" s="3" t="s">
        <v>3074</v>
      </c>
      <c r="J133" t="s">
        <v>3206</v>
      </c>
      <c r="K133">
        <v>5</v>
      </c>
      <c r="L133" t="s">
        <v>4292</v>
      </c>
      <c r="M133" s="3" t="s">
        <v>4278</v>
      </c>
      <c r="N133">
        <v>84.8</v>
      </c>
    </row>
    <row r="134" spans="1:14" x14ac:dyDescent="0.35">
      <c r="A134" t="s">
        <v>146</v>
      </c>
      <c r="B134" t="s">
        <v>4409</v>
      </c>
      <c r="C134" t="s">
        <v>1346</v>
      </c>
      <c r="D134" s="3" t="s">
        <v>2405</v>
      </c>
      <c r="E134">
        <v>4</v>
      </c>
      <c r="F134">
        <v>450.75</v>
      </c>
      <c r="G134" t="s">
        <v>2534</v>
      </c>
      <c r="H134" s="3" t="s">
        <v>3067</v>
      </c>
      <c r="I134" s="3" t="s">
        <v>3070</v>
      </c>
      <c r="J134" t="s">
        <v>3207</v>
      </c>
      <c r="K134">
        <v>6</v>
      </c>
      <c r="L134" t="s">
        <v>4277</v>
      </c>
      <c r="M134" s="3" t="s">
        <v>4280</v>
      </c>
      <c r="N134">
        <v>1803</v>
      </c>
    </row>
    <row r="135" spans="1:14" x14ac:dyDescent="0.35">
      <c r="A135" t="s">
        <v>147</v>
      </c>
      <c r="B135" t="s">
        <v>4410</v>
      </c>
      <c r="C135" t="s">
        <v>1347</v>
      </c>
      <c r="D135" s="3" t="s">
        <v>2406</v>
      </c>
      <c r="E135">
        <v>4</v>
      </c>
      <c r="F135">
        <v>302.05</v>
      </c>
      <c r="G135" t="s">
        <v>2535</v>
      </c>
      <c r="H135" s="3" t="s">
        <v>3065</v>
      </c>
      <c r="I135" s="3" t="s">
        <v>3071</v>
      </c>
      <c r="J135" t="s">
        <v>3208</v>
      </c>
      <c r="K135">
        <v>6</v>
      </c>
      <c r="L135" t="s">
        <v>4275</v>
      </c>
      <c r="M135" s="3" t="s">
        <v>4282</v>
      </c>
      <c r="N135">
        <v>1208.2</v>
      </c>
    </row>
    <row r="136" spans="1:14" x14ac:dyDescent="0.35">
      <c r="A136" t="s">
        <v>148</v>
      </c>
      <c r="B136" t="s">
        <v>4411</v>
      </c>
      <c r="C136" t="s">
        <v>1348</v>
      </c>
      <c r="D136" s="3" t="s">
        <v>2408</v>
      </c>
      <c r="E136">
        <v>2</v>
      </c>
      <c r="F136">
        <v>199.7</v>
      </c>
      <c r="G136" t="s">
        <v>2534</v>
      </c>
      <c r="H136" s="3" t="s">
        <v>3069</v>
      </c>
      <c r="I136" s="3" t="s">
        <v>3074</v>
      </c>
      <c r="J136" t="s">
        <v>3209</v>
      </c>
      <c r="K136">
        <v>4</v>
      </c>
      <c r="L136" t="s">
        <v>4292</v>
      </c>
      <c r="M136" s="3" t="s">
        <v>4280</v>
      </c>
      <c r="N136">
        <v>399.4</v>
      </c>
    </row>
    <row r="137" spans="1:14" x14ac:dyDescent="0.35">
      <c r="A137" t="s">
        <v>149</v>
      </c>
      <c r="B137" t="s">
        <v>4412</v>
      </c>
      <c r="C137" t="s">
        <v>1349</v>
      </c>
      <c r="D137" s="3" t="s">
        <v>2407</v>
      </c>
      <c r="E137">
        <v>2</v>
      </c>
      <c r="F137">
        <v>68.81</v>
      </c>
      <c r="G137" t="s">
        <v>2536</v>
      </c>
      <c r="H137" s="3" t="s">
        <v>3068</v>
      </c>
      <c r="I137" s="3" t="s">
        <v>3070</v>
      </c>
      <c r="J137" t="s">
        <v>3210</v>
      </c>
      <c r="K137">
        <v>5</v>
      </c>
      <c r="L137" t="s">
        <v>4275</v>
      </c>
      <c r="M137" s="3" t="s">
        <v>4279</v>
      </c>
      <c r="N137">
        <v>137.62</v>
      </c>
    </row>
    <row r="138" spans="1:14" x14ac:dyDescent="0.35">
      <c r="A138" t="s">
        <v>150</v>
      </c>
      <c r="B138" t="s">
        <v>4413</v>
      </c>
      <c r="C138" t="s">
        <v>1350</v>
      </c>
      <c r="D138" s="3" t="s">
        <v>2408</v>
      </c>
      <c r="E138">
        <v>1</v>
      </c>
      <c r="F138">
        <v>44.35</v>
      </c>
      <c r="G138" t="s">
        <v>2537</v>
      </c>
      <c r="H138" s="3" t="s">
        <v>3068</v>
      </c>
      <c r="I138" s="3" t="s">
        <v>3071</v>
      </c>
      <c r="J138" t="s">
        <v>3211</v>
      </c>
      <c r="K138">
        <v>1</v>
      </c>
      <c r="L138" t="s">
        <v>4275</v>
      </c>
      <c r="M138" s="3" t="s">
        <v>4278</v>
      </c>
      <c r="N138">
        <v>44.35</v>
      </c>
    </row>
    <row r="139" spans="1:14" x14ac:dyDescent="0.35">
      <c r="A139" t="s">
        <v>151</v>
      </c>
      <c r="B139" t="s">
        <v>4414</v>
      </c>
      <c r="C139" t="s">
        <v>1351</v>
      </c>
      <c r="D139" s="3" t="s">
        <v>2403</v>
      </c>
      <c r="E139">
        <v>2</v>
      </c>
      <c r="F139">
        <v>250.98</v>
      </c>
      <c r="G139" t="s">
        <v>2538</v>
      </c>
      <c r="H139" s="3" t="s">
        <v>3067</v>
      </c>
      <c r="I139" s="3" t="s">
        <v>3073</v>
      </c>
      <c r="J139" t="s">
        <v>3212</v>
      </c>
      <c r="K139">
        <v>5</v>
      </c>
      <c r="L139" t="s">
        <v>4292</v>
      </c>
      <c r="M139" s="3" t="s">
        <v>4282</v>
      </c>
      <c r="N139">
        <v>501.96</v>
      </c>
    </row>
    <row r="140" spans="1:14" x14ac:dyDescent="0.35">
      <c r="A140" t="s">
        <v>152</v>
      </c>
      <c r="B140" t="s">
        <v>4415</v>
      </c>
      <c r="C140" t="s">
        <v>1352</v>
      </c>
      <c r="D140" s="3" t="s">
        <v>2405</v>
      </c>
      <c r="E140">
        <v>1</v>
      </c>
      <c r="F140">
        <v>298.06</v>
      </c>
      <c r="G140" t="s">
        <v>2539</v>
      </c>
      <c r="H140" s="3" t="s">
        <v>3065</v>
      </c>
      <c r="I140" s="3" t="s">
        <v>3074</v>
      </c>
      <c r="J140" t="s">
        <v>3213</v>
      </c>
      <c r="K140">
        <v>3</v>
      </c>
      <c r="L140" t="s">
        <v>4277</v>
      </c>
      <c r="M140" s="3" t="s">
        <v>4282</v>
      </c>
      <c r="N140">
        <v>298.06</v>
      </c>
    </row>
    <row r="141" spans="1:14" x14ac:dyDescent="0.35">
      <c r="A141" t="s">
        <v>153</v>
      </c>
      <c r="B141" t="s">
        <v>4416</v>
      </c>
      <c r="C141" t="s">
        <v>1353</v>
      </c>
      <c r="D141" s="3" t="s">
        <v>2404</v>
      </c>
      <c r="E141">
        <v>1</v>
      </c>
      <c r="F141">
        <v>583.9</v>
      </c>
      <c r="G141" t="s">
        <v>2540</v>
      </c>
      <c r="H141" s="3" t="s">
        <v>3069</v>
      </c>
      <c r="I141" s="3" t="s">
        <v>3072</v>
      </c>
      <c r="J141" t="s">
        <v>3214</v>
      </c>
      <c r="K141">
        <v>1</v>
      </c>
      <c r="L141" t="s">
        <v>4292</v>
      </c>
      <c r="M141" s="3" t="s">
        <v>4280</v>
      </c>
      <c r="N141">
        <v>583.9</v>
      </c>
    </row>
    <row r="142" spans="1:14" x14ac:dyDescent="0.35">
      <c r="A142" t="s">
        <v>154</v>
      </c>
      <c r="B142" t="s">
        <v>4417</v>
      </c>
      <c r="C142" t="s">
        <v>1354</v>
      </c>
      <c r="D142" s="3" t="s">
        <v>2406</v>
      </c>
      <c r="E142">
        <v>3</v>
      </c>
      <c r="F142">
        <v>528.14</v>
      </c>
      <c r="G142" t="s">
        <v>2513</v>
      </c>
      <c r="H142" s="3" t="s">
        <v>3066</v>
      </c>
      <c r="I142" s="3" t="s">
        <v>3073</v>
      </c>
      <c r="J142" t="s">
        <v>3215</v>
      </c>
      <c r="K142">
        <v>3</v>
      </c>
      <c r="L142" t="s">
        <v>4276</v>
      </c>
      <c r="M142" s="3" t="s">
        <v>4280</v>
      </c>
      <c r="N142">
        <v>1584.42</v>
      </c>
    </row>
    <row r="143" spans="1:14" x14ac:dyDescent="0.35">
      <c r="A143" t="s">
        <v>155</v>
      </c>
      <c r="B143" t="s">
        <v>4418</v>
      </c>
      <c r="C143" t="s">
        <v>1355</v>
      </c>
      <c r="D143" s="3" t="s">
        <v>2407</v>
      </c>
      <c r="E143">
        <v>3</v>
      </c>
      <c r="F143">
        <v>684.14</v>
      </c>
      <c r="G143" t="s">
        <v>2541</v>
      </c>
      <c r="H143" s="3" t="s">
        <v>3069</v>
      </c>
      <c r="I143" s="3" t="s">
        <v>3071</v>
      </c>
      <c r="J143" t="s">
        <v>3216</v>
      </c>
      <c r="K143">
        <v>3</v>
      </c>
      <c r="L143" t="s">
        <v>4277</v>
      </c>
      <c r="M143" s="3" t="s">
        <v>4278</v>
      </c>
      <c r="N143">
        <v>2052.42</v>
      </c>
    </row>
    <row r="144" spans="1:14" x14ac:dyDescent="0.35">
      <c r="A144" t="s">
        <v>156</v>
      </c>
      <c r="B144" t="s">
        <v>4419</v>
      </c>
      <c r="C144" t="s">
        <v>1356</v>
      </c>
      <c r="D144" s="3" t="s">
        <v>2409</v>
      </c>
      <c r="E144">
        <v>5</v>
      </c>
      <c r="F144">
        <v>272.77</v>
      </c>
      <c r="G144" t="s">
        <v>2542</v>
      </c>
      <c r="H144" s="3" t="s">
        <v>3069</v>
      </c>
      <c r="I144" s="3" t="s">
        <v>3074</v>
      </c>
      <c r="J144" t="s">
        <v>3217</v>
      </c>
      <c r="K144">
        <v>7</v>
      </c>
      <c r="L144" t="s">
        <v>4277</v>
      </c>
      <c r="M144" s="3" t="s">
        <v>4280</v>
      </c>
      <c r="N144">
        <v>1363.85</v>
      </c>
    </row>
    <row r="145" spans="1:14" x14ac:dyDescent="0.35">
      <c r="A145" t="s">
        <v>157</v>
      </c>
      <c r="B145" t="s">
        <v>4420</v>
      </c>
      <c r="C145" t="s">
        <v>1357</v>
      </c>
      <c r="D145" s="3" t="s">
        <v>2406</v>
      </c>
      <c r="E145">
        <v>4</v>
      </c>
      <c r="F145">
        <v>400.07</v>
      </c>
      <c r="G145" t="s">
        <v>2543</v>
      </c>
      <c r="H145" s="3" t="s">
        <v>3066</v>
      </c>
      <c r="I145" s="3" t="s">
        <v>3070</v>
      </c>
      <c r="J145" t="s">
        <v>3218</v>
      </c>
      <c r="K145">
        <v>5</v>
      </c>
      <c r="L145" t="s">
        <v>4292</v>
      </c>
      <c r="M145" s="3" t="s">
        <v>4279</v>
      </c>
      <c r="N145">
        <v>1600.28</v>
      </c>
    </row>
    <row r="146" spans="1:14" x14ac:dyDescent="0.35">
      <c r="A146" t="s">
        <v>158</v>
      </c>
      <c r="B146" t="s">
        <v>4412</v>
      </c>
      <c r="C146" t="s">
        <v>1358</v>
      </c>
      <c r="D146" s="3" t="s">
        <v>2409</v>
      </c>
      <c r="E146">
        <v>5</v>
      </c>
      <c r="F146">
        <v>219.78</v>
      </c>
      <c r="G146" t="s">
        <v>2440</v>
      </c>
      <c r="H146" s="3" t="s">
        <v>3067</v>
      </c>
      <c r="I146" s="3" t="s">
        <v>3074</v>
      </c>
      <c r="J146" t="s">
        <v>3219</v>
      </c>
      <c r="K146">
        <v>8</v>
      </c>
      <c r="L146" t="s">
        <v>4292</v>
      </c>
      <c r="M146" s="3" t="s">
        <v>4281</v>
      </c>
      <c r="N146">
        <v>1098.9000000000001</v>
      </c>
    </row>
    <row r="147" spans="1:14" x14ac:dyDescent="0.35">
      <c r="A147" t="s">
        <v>159</v>
      </c>
      <c r="B147" t="s">
        <v>4301</v>
      </c>
      <c r="C147" t="s">
        <v>1359</v>
      </c>
      <c r="D147" s="3" t="s">
        <v>2407</v>
      </c>
      <c r="E147">
        <v>3</v>
      </c>
      <c r="F147">
        <v>146.91</v>
      </c>
      <c r="G147" t="s">
        <v>2544</v>
      </c>
      <c r="H147" s="3" t="s">
        <v>3067</v>
      </c>
      <c r="I147" s="3" t="s">
        <v>3073</v>
      </c>
      <c r="J147" t="s">
        <v>3220</v>
      </c>
      <c r="K147">
        <v>6</v>
      </c>
      <c r="L147" t="s">
        <v>4276</v>
      </c>
      <c r="M147" s="3" t="s">
        <v>4282</v>
      </c>
      <c r="N147">
        <v>440.73</v>
      </c>
    </row>
    <row r="148" spans="1:14" x14ac:dyDescent="0.35">
      <c r="A148" t="s">
        <v>160</v>
      </c>
      <c r="B148" t="s">
        <v>4421</v>
      </c>
      <c r="C148" t="s">
        <v>1360</v>
      </c>
      <c r="D148" s="3" t="s">
        <v>2405</v>
      </c>
      <c r="E148">
        <v>2</v>
      </c>
      <c r="F148">
        <v>411.49</v>
      </c>
      <c r="G148" t="s">
        <v>2545</v>
      </c>
      <c r="H148" s="3" t="s">
        <v>3067</v>
      </c>
      <c r="I148" s="3" t="s">
        <v>3072</v>
      </c>
      <c r="J148" t="s">
        <v>3221</v>
      </c>
      <c r="K148">
        <v>4</v>
      </c>
      <c r="L148" t="s">
        <v>4292</v>
      </c>
      <c r="M148" s="3" t="s">
        <v>4278</v>
      </c>
      <c r="N148">
        <v>822.98</v>
      </c>
    </row>
    <row r="149" spans="1:14" x14ac:dyDescent="0.35">
      <c r="A149" t="s">
        <v>161</v>
      </c>
      <c r="B149" t="s">
        <v>4422</v>
      </c>
      <c r="C149" t="s">
        <v>1361</v>
      </c>
      <c r="D149" s="3" t="s">
        <v>2408</v>
      </c>
      <c r="E149">
        <v>2</v>
      </c>
      <c r="F149">
        <v>465.18</v>
      </c>
      <c r="G149" t="s">
        <v>2546</v>
      </c>
      <c r="H149" s="3" t="s">
        <v>3067</v>
      </c>
      <c r="I149" s="3" t="s">
        <v>3071</v>
      </c>
      <c r="J149" t="s">
        <v>3222</v>
      </c>
      <c r="K149">
        <v>2</v>
      </c>
      <c r="L149" t="s">
        <v>4275</v>
      </c>
      <c r="M149" s="3" t="s">
        <v>4282</v>
      </c>
      <c r="N149">
        <v>930.36</v>
      </c>
    </row>
    <row r="150" spans="1:14" x14ac:dyDescent="0.35">
      <c r="A150" t="s">
        <v>162</v>
      </c>
      <c r="B150" t="s">
        <v>4423</v>
      </c>
      <c r="C150" t="s">
        <v>1362</v>
      </c>
      <c r="D150" s="3" t="s">
        <v>2404</v>
      </c>
      <c r="E150">
        <v>2</v>
      </c>
      <c r="F150">
        <v>319.91000000000003</v>
      </c>
      <c r="G150" t="s">
        <v>2547</v>
      </c>
      <c r="H150" s="3" t="s">
        <v>3067</v>
      </c>
      <c r="I150" s="3" t="s">
        <v>3071</v>
      </c>
      <c r="J150" t="s">
        <v>3223</v>
      </c>
      <c r="K150">
        <v>3</v>
      </c>
      <c r="L150" t="s">
        <v>4277</v>
      </c>
      <c r="M150" s="3" t="s">
        <v>4282</v>
      </c>
      <c r="N150">
        <v>639.82000000000005</v>
      </c>
    </row>
    <row r="151" spans="1:14" x14ac:dyDescent="0.35">
      <c r="A151" t="s">
        <v>163</v>
      </c>
      <c r="B151" t="s">
        <v>4424</v>
      </c>
      <c r="C151" t="s">
        <v>1363</v>
      </c>
      <c r="D151" s="3" t="s">
        <v>2408</v>
      </c>
      <c r="E151">
        <v>1</v>
      </c>
      <c r="F151">
        <v>217.56</v>
      </c>
      <c r="G151" t="s">
        <v>2548</v>
      </c>
      <c r="H151" s="3" t="s">
        <v>3065</v>
      </c>
      <c r="I151" s="3" t="s">
        <v>3073</v>
      </c>
      <c r="J151" t="s">
        <v>3224</v>
      </c>
      <c r="K151">
        <v>3</v>
      </c>
      <c r="L151" t="s">
        <v>4292</v>
      </c>
      <c r="M151" s="3" t="s">
        <v>4281</v>
      </c>
      <c r="N151">
        <v>217.56</v>
      </c>
    </row>
    <row r="152" spans="1:14" x14ac:dyDescent="0.35">
      <c r="A152" t="s">
        <v>164</v>
      </c>
      <c r="B152" t="s">
        <v>4425</v>
      </c>
      <c r="C152" t="s">
        <v>1364</v>
      </c>
      <c r="D152" s="3" t="s">
        <v>2404</v>
      </c>
      <c r="E152">
        <v>2</v>
      </c>
      <c r="F152">
        <v>105.57</v>
      </c>
      <c r="G152" t="s">
        <v>2549</v>
      </c>
      <c r="H152" s="3" t="s">
        <v>3065</v>
      </c>
      <c r="I152" s="3" t="s">
        <v>3072</v>
      </c>
      <c r="J152" t="s">
        <v>3225</v>
      </c>
      <c r="K152">
        <v>5</v>
      </c>
      <c r="L152" t="s">
        <v>4277</v>
      </c>
      <c r="M152" s="3" t="s">
        <v>4282</v>
      </c>
      <c r="N152">
        <v>211.14</v>
      </c>
    </row>
    <row r="153" spans="1:14" x14ac:dyDescent="0.35">
      <c r="A153" t="s">
        <v>165</v>
      </c>
      <c r="B153" t="s">
        <v>4426</v>
      </c>
      <c r="C153" t="s">
        <v>1365</v>
      </c>
      <c r="D153" s="3" t="s">
        <v>2407</v>
      </c>
      <c r="E153">
        <v>5</v>
      </c>
      <c r="F153">
        <v>444.76</v>
      </c>
      <c r="G153" t="s">
        <v>2550</v>
      </c>
      <c r="H153" s="3" t="s">
        <v>3065</v>
      </c>
      <c r="I153" s="3" t="s">
        <v>3072</v>
      </c>
      <c r="J153" t="s">
        <v>3226</v>
      </c>
      <c r="K153">
        <v>7</v>
      </c>
      <c r="L153" t="s">
        <v>4292</v>
      </c>
      <c r="M153" s="3" t="s">
        <v>4280</v>
      </c>
      <c r="N153">
        <v>2223.8000000000002</v>
      </c>
    </row>
    <row r="154" spans="1:14" x14ac:dyDescent="0.35">
      <c r="A154" t="s">
        <v>166</v>
      </c>
      <c r="B154" t="s">
        <v>4427</v>
      </c>
      <c r="C154" t="s">
        <v>1366</v>
      </c>
      <c r="D154" s="3" t="s">
        <v>2406</v>
      </c>
      <c r="E154">
        <v>2</v>
      </c>
      <c r="F154">
        <v>399.04</v>
      </c>
      <c r="G154" t="s">
        <v>2551</v>
      </c>
      <c r="H154" s="3" t="s">
        <v>3069</v>
      </c>
      <c r="I154" s="3" t="s">
        <v>3071</v>
      </c>
      <c r="J154" t="s">
        <v>3227</v>
      </c>
      <c r="K154">
        <v>3</v>
      </c>
      <c r="L154" t="s">
        <v>4276</v>
      </c>
      <c r="M154" s="3" t="s">
        <v>4279</v>
      </c>
      <c r="N154">
        <v>798.08</v>
      </c>
    </row>
    <row r="155" spans="1:14" x14ac:dyDescent="0.35">
      <c r="A155" t="s">
        <v>167</v>
      </c>
      <c r="B155" t="s">
        <v>4428</v>
      </c>
      <c r="C155" t="s">
        <v>1367</v>
      </c>
      <c r="D155" s="3" t="s">
        <v>2406</v>
      </c>
      <c r="E155">
        <v>4</v>
      </c>
      <c r="F155">
        <v>534.48</v>
      </c>
      <c r="G155" t="s">
        <v>2552</v>
      </c>
      <c r="H155" s="3" t="s">
        <v>3066</v>
      </c>
      <c r="I155" s="3" t="s">
        <v>3072</v>
      </c>
      <c r="J155" t="s">
        <v>3228</v>
      </c>
      <c r="K155">
        <v>9</v>
      </c>
      <c r="L155" t="s">
        <v>4277</v>
      </c>
      <c r="M155" s="3" t="s">
        <v>4278</v>
      </c>
      <c r="N155">
        <v>2137.92</v>
      </c>
    </row>
    <row r="156" spans="1:14" x14ac:dyDescent="0.35">
      <c r="A156" t="s">
        <v>168</v>
      </c>
      <c r="B156" t="s">
        <v>4429</v>
      </c>
      <c r="C156" t="s">
        <v>1368</v>
      </c>
      <c r="D156" s="3" t="s">
        <v>2404</v>
      </c>
      <c r="E156">
        <v>4</v>
      </c>
      <c r="F156">
        <v>408.21</v>
      </c>
      <c r="G156" t="s">
        <v>2525</v>
      </c>
      <c r="H156" s="3" t="s">
        <v>3067</v>
      </c>
      <c r="I156" s="3" t="s">
        <v>3074</v>
      </c>
      <c r="J156" t="s">
        <v>3229</v>
      </c>
      <c r="K156">
        <v>9</v>
      </c>
      <c r="L156" t="s">
        <v>4292</v>
      </c>
      <c r="M156" s="3" t="s">
        <v>4278</v>
      </c>
      <c r="N156">
        <v>1632.84</v>
      </c>
    </row>
    <row r="157" spans="1:14" x14ac:dyDescent="0.35">
      <c r="A157" t="s">
        <v>169</v>
      </c>
      <c r="B157" t="s">
        <v>4430</v>
      </c>
      <c r="C157" t="s">
        <v>1369</v>
      </c>
      <c r="D157" s="3" t="s">
        <v>2404</v>
      </c>
      <c r="E157">
        <v>1</v>
      </c>
      <c r="F157">
        <v>424.4</v>
      </c>
      <c r="G157" t="s">
        <v>2457</v>
      </c>
      <c r="H157" s="3" t="s">
        <v>3066</v>
      </c>
      <c r="I157" s="3" t="s">
        <v>3070</v>
      </c>
      <c r="J157" t="s">
        <v>3230</v>
      </c>
      <c r="K157">
        <v>6</v>
      </c>
      <c r="L157" t="s">
        <v>4277</v>
      </c>
      <c r="M157" s="3" t="s">
        <v>4279</v>
      </c>
      <c r="N157">
        <v>424.4</v>
      </c>
    </row>
    <row r="158" spans="1:14" x14ac:dyDescent="0.35">
      <c r="A158" t="s">
        <v>170</v>
      </c>
      <c r="B158" t="s">
        <v>4431</v>
      </c>
      <c r="C158" t="s">
        <v>1370</v>
      </c>
      <c r="D158" s="3" t="s">
        <v>2406</v>
      </c>
      <c r="E158">
        <v>2</v>
      </c>
      <c r="F158">
        <v>269.83</v>
      </c>
      <c r="G158" t="s">
        <v>2553</v>
      </c>
      <c r="H158" s="3" t="s">
        <v>3066</v>
      </c>
      <c r="I158" s="3" t="s">
        <v>3073</v>
      </c>
      <c r="J158" t="s">
        <v>3231</v>
      </c>
      <c r="K158">
        <v>4</v>
      </c>
      <c r="L158" t="s">
        <v>4275</v>
      </c>
      <c r="M158" s="3" t="s">
        <v>4280</v>
      </c>
      <c r="N158">
        <v>539.66</v>
      </c>
    </row>
    <row r="159" spans="1:14" x14ac:dyDescent="0.35">
      <c r="A159" t="s">
        <v>171</v>
      </c>
      <c r="B159" t="s">
        <v>4432</v>
      </c>
      <c r="C159" t="s">
        <v>1371</v>
      </c>
      <c r="D159" s="3" t="s">
        <v>2403</v>
      </c>
      <c r="E159">
        <v>2</v>
      </c>
      <c r="F159">
        <v>564.58000000000004</v>
      </c>
      <c r="G159" t="s">
        <v>2535</v>
      </c>
      <c r="H159" s="3" t="s">
        <v>3066</v>
      </c>
      <c r="I159" s="3" t="s">
        <v>3072</v>
      </c>
      <c r="J159" t="s">
        <v>3232</v>
      </c>
      <c r="K159">
        <v>4</v>
      </c>
      <c r="L159" t="s">
        <v>4277</v>
      </c>
      <c r="M159" s="3" t="s">
        <v>4281</v>
      </c>
      <c r="N159">
        <v>1129.1600000000001</v>
      </c>
    </row>
    <row r="160" spans="1:14" x14ac:dyDescent="0.35">
      <c r="A160" t="s">
        <v>172</v>
      </c>
      <c r="B160" t="s">
        <v>4433</v>
      </c>
      <c r="C160" t="s">
        <v>1372</v>
      </c>
      <c r="D160" s="3" t="s">
        <v>2405</v>
      </c>
      <c r="E160">
        <v>1</v>
      </c>
      <c r="F160">
        <v>331.06</v>
      </c>
      <c r="G160" t="s">
        <v>2554</v>
      </c>
      <c r="H160" s="3" t="s">
        <v>3067</v>
      </c>
      <c r="I160" s="3" t="s">
        <v>3074</v>
      </c>
      <c r="J160" t="s">
        <v>3233</v>
      </c>
      <c r="K160">
        <v>5</v>
      </c>
      <c r="L160" t="s">
        <v>4277</v>
      </c>
      <c r="M160" s="3" t="s">
        <v>4278</v>
      </c>
      <c r="N160">
        <v>331.06</v>
      </c>
    </row>
    <row r="161" spans="1:14" x14ac:dyDescent="0.35">
      <c r="A161" t="s">
        <v>173</v>
      </c>
      <c r="B161" t="s">
        <v>4434</v>
      </c>
      <c r="C161" t="s">
        <v>1373</v>
      </c>
      <c r="D161" s="3" t="s">
        <v>2407</v>
      </c>
      <c r="E161">
        <v>1</v>
      </c>
      <c r="F161">
        <v>299.35000000000002</v>
      </c>
      <c r="G161" t="s">
        <v>2555</v>
      </c>
      <c r="H161" s="3" t="s">
        <v>3067</v>
      </c>
      <c r="I161" s="3" t="s">
        <v>3071</v>
      </c>
      <c r="J161" t="s">
        <v>3234</v>
      </c>
      <c r="K161">
        <v>5</v>
      </c>
      <c r="L161" t="s">
        <v>4277</v>
      </c>
      <c r="M161" s="3" t="s">
        <v>4280</v>
      </c>
      <c r="N161">
        <v>299.35000000000002</v>
      </c>
    </row>
    <row r="162" spans="1:14" x14ac:dyDescent="0.35">
      <c r="A162" t="s">
        <v>174</v>
      </c>
      <c r="B162" t="s">
        <v>4380</v>
      </c>
      <c r="C162" t="s">
        <v>1374</v>
      </c>
      <c r="D162" s="3" t="s">
        <v>2403</v>
      </c>
      <c r="E162">
        <v>4</v>
      </c>
      <c r="F162">
        <v>101.32</v>
      </c>
      <c r="G162" t="s">
        <v>2556</v>
      </c>
      <c r="H162" s="3" t="s">
        <v>3069</v>
      </c>
      <c r="I162" s="3" t="s">
        <v>3074</v>
      </c>
      <c r="J162" t="s">
        <v>3235</v>
      </c>
      <c r="K162">
        <v>7</v>
      </c>
      <c r="L162" t="s">
        <v>4292</v>
      </c>
      <c r="M162" s="3" t="s">
        <v>4279</v>
      </c>
      <c r="N162">
        <v>405.28</v>
      </c>
    </row>
    <row r="163" spans="1:14" x14ac:dyDescent="0.35">
      <c r="A163" t="s">
        <v>175</v>
      </c>
      <c r="B163" t="s">
        <v>4435</v>
      </c>
      <c r="C163" t="s">
        <v>1375</v>
      </c>
      <c r="D163" s="3" t="s">
        <v>2403</v>
      </c>
      <c r="E163">
        <v>1</v>
      </c>
      <c r="F163">
        <v>211.14</v>
      </c>
      <c r="G163" t="s">
        <v>2532</v>
      </c>
      <c r="H163" s="3" t="s">
        <v>3067</v>
      </c>
      <c r="I163" s="3" t="s">
        <v>3071</v>
      </c>
      <c r="J163" t="s">
        <v>3236</v>
      </c>
      <c r="K163">
        <v>1</v>
      </c>
      <c r="L163" t="s">
        <v>4275</v>
      </c>
      <c r="M163" s="3" t="s">
        <v>4281</v>
      </c>
      <c r="N163">
        <v>211.14</v>
      </c>
    </row>
    <row r="164" spans="1:14" x14ac:dyDescent="0.35">
      <c r="A164" t="s">
        <v>176</v>
      </c>
      <c r="B164" t="s">
        <v>4436</v>
      </c>
      <c r="C164" t="s">
        <v>1376</v>
      </c>
      <c r="D164" s="3" t="s">
        <v>2406</v>
      </c>
      <c r="E164">
        <v>3</v>
      </c>
      <c r="F164">
        <v>65.86</v>
      </c>
      <c r="G164" t="s">
        <v>2479</v>
      </c>
      <c r="H164" s="3" t="s">
        <v>3066</v>
      </c>
      <c r="I164" s="3" t="s">
        <v>3074</v>
      </c>
      <c r="J164" t="s">
        <v>3237</v>
      </c>
      <c r="K164">
        <v>8</v>
      </c>
      <c r="L164" t="s">
        <v>4277</v>
      </c>
      <c r="M164" s="3" t="s">
        <v>4282</v>
      </c>
      <c r="N164">
        <v>197.58</v>
      </c>
    </row>
    <row r="165" spans="1:14" x14ac:dyDescent="0.35">
      <c r="A165" t="s">
        <v>177</v>
      </c>
      <c r="B165" t="s">
        <v>4337</v>
      </c>
      <c r="C165" t="s">
        <v>1377</v>
      </c>
      <c r="D165" s="3" t="s">
        <v>2405</v>
      </c>
      <c r="E165">
        <v>1</v>
      </c>
      <c r="F165">
        <v>641.39</v>
      </c>
      <c r="G165" t="s">
        <v>2557</v>
      </c>
      <c r="H165" s="3" t="s">
        <v>3066</v>
      </c>
      <c r="I165" s="3" t="s">
        <v>3071</v>
      </c>
      <c r="J165" t="s">
        <v>3238</v>
      </c>
      <c r="K165">
        <v>1</v>
      </c>
      <c r="L165" t="s">
        <v>4292</v>
      </c>
      <c r="M165" s="3" t="s">
        <v>4279</v>
      </c>
      <c r="N165">
        <v>641.39</v>
      </c>
    </row>
    <row r="166" spans="1:14" x14ac:dyDescent="0.35">
      <c r="A166" t="s">
        <v>178</v>
      </c>
      <c r="B166" t="s">
        <v>4437</v>
      </c>
      <c r="C166" t="s">
        <v>1378</v>
      </c>
      <c r="D166" s="3" t="s">
        <v>2409</v>
      </c>
      <c r="E166">
        <v>5</v>
      </c>
      <c r="F166">
        <v>536.58000000000004</v>
      </c>
      <c r="G166" t="s">
        <v>2558</v>
      </c>
      <c r="H166" s="3" t="s">
        <v>3068</v>
      </c>
      <c r="I166" s="3" t="s">
        <v>3074</v>
      </c>
      <c r="J166" t="s">
        <v>3239</v>
      </c>
      <c r="K166">
        <v>5</v>
      </c>
      <c r="L166" t="s">
        <v>4275</v>
      </c>
      <c r="M166" s="3" t="s">
        <v>4282</v>
      </c>
      <c r="N166">
        <v>2682.9</v>
      </c>
    </row>
    <row r="167" spans="1:14" x14ac:dyDescent="0.35">
      <c r="A167" t="s">
        <v>179</v>
      </c>
      <c r="B167" t="s">
        <v>4438</v>
      </c>
      <c r="C167" t="s">
        <v>1379</v>
      </c>
      <c r="D167" s="3" t="s">
        <v>2403</v>
      </c>
      <c r="E167">
        <v>2</v>
      </c>
      <c r="F167">
        <v>500.29</v>
      </c>
      <c r="G167" t="s">
        <v>2559</v>
      </c>
      <c r="H167" s="3" t="s">
        <v>3066</v>
      </c>
      <c r="I167" s="3" t="s">
        <v>3072</v>
      </c>
      <c r="J167" t="s">
        <v>3240</v>
      </c>
      <c r="K167">
        <v>7</v>
      </c>
      <c r="L167" t="s">
        <v>4277</v>
      </c>
      <c r="M167" s="3" t="s">
        <v>4282</v>
      </c>
      <c r="N167">
        <v>1000.58</v>
      </c>
    </row>
    <row r="168" spans="1:14" x14ac:dyDescent="0.35">
      <c r="A168" t="s">
        <v>180</v>
      </c>
      <c r="B168" t="s">
        <v>4439</v>
      </c>
      <c r="C168" t="s">
        <v>1380</v>
      </c>
      <c r="D168" s="3" t="s">
        <v>2406</v>
      </c>
      <c r="E168">
        <v>3</v>
      </c>
      <c r="F168">
        <v>86.29</v>
      </c>
      <c r="G168" t="s">
        <v>2461</v>
      </c>
      <c r="H168" s="3" t="s">
        <v>3069</v>
      </c>
      <c r="I168" s="3" t="s">
        <v>3073</v>
      </c>
      <c r="J168" t="s">
        <v>3241</v>
      </c>
      <c r="K168">
        <v>6</v>
      </c>
      <c r="L168" t="s">
        <v>4277</v>
      </c>
      <c r="M168" s="3" t="s">
        <v>4278</v>
      </c>
      <c r="N168">
        <v>258.87</v>
      </c>
    </row>
    <row r="169" spans="1:14" x14ac:dyDescent="0.35">
      <c r="A169" t="s">
        <v>181</v>
      </c>
      <c r="B169" t="s">
        <v>4440</v>
      </c>
      <c r="C169" t="s">
        <v>1381</v>
      </c>
      <c r="D169" s="3" t="s">
        <v>2406</v>
      </c>
      <c r="E169">
        <v>2</v>
      </c>
      <c r="F169">
        <v>384.14</v>
      </c>
      <c r="G169" t="s">
        <v>2560</v>
      </c>
      <c r="H169" s="3" t="s">
        <v>3066</v>
      </c>
      <c r="I169" s="3" t="s">
        <v>3072</v>
      </c>
      <c r="J169" t="s">
        <v>3242</v>
      </c>
      <c r="K169">
        <v>2</v>
      </c>
      <c r="L169" t="s">
        <v>4277</v>
      </c>
      <c r="M169" s="3" t="s">
        <v>4280</v>
      </c>
      <c r="N169">
        <v>768.28</v>
      </c>
    </row>
    <row r="170" spans="1:14" x14ac:dyDescent="0.35">
      <c r="A170" t="s">
        <v>182</v>
      </c>
      <c r="B170" t="s">
        <v>4441</v>
      </c>
      <c r="C170" t="s">
        <v>1382</v>
      </c>
      <c r="D170" s="3" t="s">
        <v>2407</v>
      </c>
      <c r="E170">
        <v>1</v>
      </c>
      <c r="F170">
        <v>594.96</v>
      </c>
      <c r="G170" t="s">
        <v>2561</v>
      </c>
      <c r="H170" s="3" t="s">
        <v>3069</v>
      </c>
      <c r="I170" s="3" t="s">
        <v>3072</v>
      </c>
      <c r="J170" t="s">
        <v>3243</v>
      </c>
      <c r="K170">
        <v>6</v>
      </c>
      <c r="L170" t="s">
        <v>4292</v>
      </c>
      <c r="M170" s="3" t="s">
        <v>4281</v>
      </c>
      <c r="N170">
        <v>594.96</v>
      </c>
    </row>
    <row r="171" spans="1:14" x14ac:dyDescent="0.35">
      <c r="A171" t="s">
        <v>183</v>
      </c>
      <c r="B171" t="s">
        <v>4442</v>
      </c>
      <c r="C171" t="s">
        <v>1383</v>
      </c>
      <c r="D171" s="3" t="s">
        <v>2407</v>
      </c>
      <c r="E171">
        <v>1</v>
      </c>
      <c r="F171">
        <v>427.82</v>
      </c>
      <c r="G171" t="s">
        <v>2562</v>
      </c>
      <c r="H171" s="3" t="s">
        <v>3066</v>
      </c>
      <c r="I171" s="3" t="s">
        <v>3073</v>
      </c>
      <c r="J171" t="s">
        <v>3244</v>
      </c>
      <c r="K171">
        <v>2</v>
      </c>
      <c r="L171" t="s">
        <v>4277</v>
      </c>
      <c r="M171" s="3" t="s">
        <v>4280</v>
      </c>
      <c r="N171">
        <v>427.82</v>
      </c>
    </row>
    <row r="172" spans="1:14" x14ac:dyDescent="0.35">
      <c r="A172" t="s">
        <v>184</v>
      </c>
      <c r="B172" t="s">
        <v>4443</v>
      </c>
      <c r="C172" t="s">
        <v>1384</v>
      </c>
      <c r="D172" s="3" t="s">
        <v>2409</v>
      </c>
      <c r="E172">
        <v>4</v>
      </c>
      <c r="F172">
        <v>662.94</v>
      </c>
      <c r="G172" t="s">
        <v>2563</v>
      </c>
      <c r="H172" s="3" t="s">
        <v>3069</v>
      </c>
      <c r="I172" s="3" t="s">
        <v>3071</v>
      </c>
      <c r="J172" t="s">
        <v>3245</v>
      </c>
      <c r="K172">
        <v>8</v>
      </c>
      <c r="L172" t="s">
        <v>4275</v>
      </c>
      <c r="M172" s="3" t="s">
        <v>4278</v>
      </c>
      <c r="N172">
        <v>2651.76</v>
      </c>
    </row>
    <row r="173" spans="1:14" x14ac:dyDescent="0.35">
      <c r="A173" t="s">
        <v>185</v>
      </c>
      <c r="B173" t="s">
        <v>4444</v>
      </c>
      <c r="C173" t="s">
        <v>1385</v>
      </c>
      <c r="D173" s="3" t="s">
        <v>2405</v>
      </c>
      <c r="E173">
        <v>2</v>
      </c>
      <c r="F173">
        <v>148.22</v>
      </c>
      <c r="G173" t="s">
        <v>2564</v>
      </c>
      <c r="H173" s="3" t="s">
        <v>3067</v>
      </c>
      <c r="I173" s="3" t="s">
        <v>3073</v>
      </c>
      <c r="J173" t="s">
        <v>3246</v>
      </c>
      <c r="K173">
        <v>7</v>
      </c>
      <c r="L173" t="s">
        <v>4277</v>
      </c>
      <c r="M173" s="3" t="s">
        <v>4278</v>
      </c>
      <c r="N173">
        <v>296.44</v>
      </c>
    </row>
    <row r="174" spans="1:14" x14ac:dyDescent="0.35">
      <c r="A174" t="s">
        <v>186</v>
      </c>
      <c r="B174" t="s">
        <v>4445</v>
      </c>
      <c r="C174" t="s">
        <v>1386</v>
      </c>
      <c r="D174" s="3" t="s">
        <v>2407</v>
      </c>
      <c r="E174">
        <v>1</v>
      </c>
      <c r="F174">
        <v>254.12</v>
      </c>
      <c r="G174" t="s">
        <v>2529</v>
      </c>
      <c r="H174" s="3" t="s">
        <v>3066</v>
      </c>
      <c r="I174" s="3" t="s">
        <v>3073</v>
      </c>
      <c r="J174" t="s">
        <v>3247</v>
      </c>
      <c r="K174">
        <v>1</v>
      </c>
      <c r="L174" t="s">
        <v>4277</v>
      </c>
      <c r="M174" s="3" t="s">
        <v>4280</v>
      </c>
      <c r="N174">
        <v>254.12</v>
      </c>
    </row>
    <row r="175" spans="1:14" x14ac:dyDescent="0.35">
      <c r="A175" t="s">
        <v>187</v>
      </c>
      <c r="B175" t="s">
        <v>4343</v>
      </c>
      <c r="C175" t="s">
        <v>1387</v>
      </c>
      <c r="D175" s="3" t="s">
        <v>2404</v>
      </c>
      <c r="E175">
        <v>3</v>
      </c>
      <c r="F175">
        <v>664.46</v>
      </c>
      <c r="G175" t="s">
        <v>2565</v>
      </c>
      <c r="H175" s="3" t="s">
        <v>3066</v>
      </c>
      <c r="I175" s="3" t="s">
        <v>3073</v>
      </c>
      <c r="J175" t="s">
        <v>3248</v>
      </c>
      <c r="K175">
        <v>4</v>
      </c>
      <c r="L175" t="s">
        <v>4276</v>
      </c>
      <c r="M175" s="3" t="s">
        <v>4282</v>
      </c>
      <c r="N175">
        <v>1993.38</v>
      </c>
    </row>
    <row r="176" spans="1:14" x14ac:dyDescent="0.35">
      <c r="A176" t="s">
        <v>188</v>
      </c>
      <c r="B176" t="s">
        <v>4446</v>
      </c>
      <c r="C176" t="s">
        <v>1388</v>
      </c>
      <c r="D176" s="3" t="s">
        <v>2407</v>
      </c>
      <c r="E176">
        <v>4</v>
      </c>
      <c r="F176">
        <v>600.80999999999995</v>
      </c>
      <c r="G176" t="s">
        <v>2566</v>
      </c>
      <c r="H176" s="3" t="s">
        <v>3065</v>
      </c>
      <c r="I176" s="3" t="s">
        <v>3073</v>
      </c>
      <c r="J176" t="s">
        <v>3249</v>
      </c>
      <c r="K176">
        <v>9</v>
      </c>
      <c r="L176" t="s">
        <v>4275</v>
      </c>
      <c r="M176" s="3" t="s">
        <v>4280</v>
      </c>
      <c r="N176">
        <v>2403.2399999999998</v>
      </c>
    </row>
    <row r="177" spans="1:14" x14ac:dyDescent="0.35">
      <c r="A177" t="s">
        <v>189</v>
      </c>
      <c r="B177" t="s">
        <v>4447</v>
      </c>
      <c r="C177" t="s">
        <v>1389</v>
      </c>
      <c r="D177" s="3" t="s">
        <v>2406</v>
      </c>
      <c r="E177">
        <v>5</v>
      </c>
      <c r="F177">
        <v>68.34</v>
      </c>
      <c r="G177" t="s">
        <v>2567</v>
      </c>
      <c r="H177" s="3" t="s">
        <v>3065</v>
      </c>
      <c r="I177" s="3" t="s">
        <v>3074</v>
      </c>
      <c r="J177" t="s">
        <v>3250</v>
      </c>
      <c r="K177">
        <v>6</v>
      </c>
      <c r="L177" t="s">
        <v>4277</v>
      </c>
      <c r="M177" s="3" t="s">
        <v>4279</v>
      </c>
      <c r="N177">
        <v>341.7</v>
      </c>
    </row>
    <row r="178" spans="1:14" x14ac:dyDescent="0.35">
      <c r="A178" t="s">
        <v>190</v>
      </c>
      <c r="B178" t="s">
        <v>4448</v>
      </c>
      <c r="C178" t="s">
        <v>1390</v>
      </c>
      <c r="D178" s="3" t="s">
        <v>2405</v>
      </c>
      <c r="E178">
        <v>4</v>
      </c>
      <c r="F178">
        <v>430.83</v>
      </c>
      <c r="G178" t="s">
        <v>2568</v>
      </c>
      <c r="H178" s="3" t="s">
        <v>3068</v>
      </c>
      <c r="I178" s="3" t="s">
        <v>3074</v>
      </c>
      <c r="J178" t="s">
        <v>3251</v>
      </c>
      <c r="K178">
        <v>8</v>
      </c>
      <c r="L178" t="s">
        <v>4277</v>
      </c>
      <c r="M178" s="3" t="s">
        <v>4279</v>
      </c>
      <c r="N178">
        <v>1723.32</v>
      </c>
    </row>
    <row r="179" spans="1:14" x14ac:dyDescent="0.35">
      <c r="A179" t="s">
        <v>191</v>
      </c>
      <c r="B179" t="s">
        <v>4449</v>
      </c>
      <c r="C179" t="s">
        <v>1391</v>
      </c>
      <c r="D179" s="3" t="s">
        <v>2406</v>
      </c>
      <c r="E179">
        <v>5</v>
      </c>
      <c r="F179">
        <v>431.69</v>
      </c>
      <c r="G179" t="s">
        <v>2569</v>
      </c>
      <c r="H179" s="3" t="s">
        <v>3067</v>
      </c>
      <c r="I179" s="3" t="s">
        <v>3074</v>
      </c>
      <c r="J179" t="s">
        <v>3252</v>
      </c>
      <c r="K179">
        <v>10</v>
      </c>
      <c r="L179" t="s">
        <v>4292</v>
      </c>
      <c r="M179" s="3" t="s">
        <v>4281</v>
      </c>
      <c r="N179">
        <v>2158.4499999999998</v>
      </c>
    </row>
    <row r="180" spans="1:14" x14ac:dyDescent="0.35">
      <c r="A180" t="s">
        <v>192</v>
      </c>
      <c r="B180" t="s">
        <v>4450</v>
      </c>
      <c r="C180" t="s">
        <v>1392</v>
      </c>
      <c r="D180" s="3" t="s">
        <v>2406</v>
      </c>
      <c r="E180">
        <v>4</v>
      </c>
      <c r="F180">
        <v>512.05999999999995</v>
      </c>
      <c r="G180" t="s">
        <v>2570</v>
      </c>
      <c r="H180" s="3" t="s">
        <v>3066</v>
      </c>
      <c r="I180" s="3" t="s">
        <v>3073</v>
      </c>
      <c r="J180" t="s">
        <v>3253</v>
      </c>
      <c r="K180">
        <v>5</v>
      </c>
      <c r="L180" t="s">
        <v>4275</v>
      </c>
      <c r="M180" s="3" t="s">
        <v>4282</v>
      </c>
      <c r="N180">
        <v>2048.2399999999998</v>
      </c>
    </row>
    <row r="181" spans="1:14" x14ac:dyDescent="0.35">
      <c r="A181" t="s">
        <v>193</v>
      </c>
      <c r="B181" t="s">
        <v>4451</v>
      </c>
      <c r="C181" t="s">
        <v>1393</v>
      </c>
      <c r="D181" s="3" t="s">
        <v>2408</v>
      </c>
      <c r="E181">
        <v>3</v>
      </c>
      <c r="F181">
        <v>539.91</v>
      </c>
      <c r="G181" t="s">
        <v>2571</v>
      </c>
      <c r="H181" s="3" t="s">
        <v>3067</v>
      </c>
      <c r="I181" s="3" t="s">
        <v>3073</v>
      </c>
      <c r="J181" t="s">
        <v>3254</v>
      </c>
      <c r="K181">
        <v>8</v>
      </c>
      <c r="L181" t="s">
        <v>4292</v>
      </c>
      <c r="M181" s="3" t="s">
        <v>4280</v>
      </c>
      <c r="N181">
        <v>1619.73</v>
      </c>
    </row>
    <row r="182" spans="1:14" x14ac:dyDescent="0.35">
      <c r="A182" t="s">
        <v>194</v>
      </c>
      <c r="B182" t="s">
        <v>4452</v>
      </c>
      <c r="C182" t="s">
        <v>1394</v>
      </c>
      <c r="D182" s="3" t="s">
        <v>2405</v>
      </c>
      <c r="E182">
        <v>5</v>
      </c>
      <c r="F182">
        <v>316.07</v>
      </c>
      <c r="G182" t="s">
        <v>2572</v>
      </c>
      <c r="H182" s="3" t="s">
        <v>3069</v>
      </c>
      <c r="I182" s="3" t="s">
        <v>3072</v>
      </c>
      <c r="J182" t="s">
        <v>3255</v>
      </c>
      <c r="K182">
        <v>10</v>
      </c>
      <c r="L182" t="s">
        <v>4292</v>
      </c>
      <c r="M182" s="3" t="s">
        <v>4282</v>
      </c>
      <c r="N182">
        <v>1580.35</v>
      </c>
    </row>
    <row r="183" spans="1:14" x14ac:dyDescent="0.35">
      <c r="A183" t="s">
        <v>195</v>
      </c>
      <c r="B183" t="s">
        <v>4453</v>
      </c>
      <c r="C183" t="s">
        <v>1395</v>
      </c>
      <c r="D183" s="3" t="s">
        <v>2407</v>
      </c>
      <c r="E183">
        <v>5</v>
      </c>
      <c r="F183">
        <v>404.39</v>
      </c>
      <c r="G183" t="s">
        <v>2573</v>
      </c>
      <c r="H183" s="3" t="s">
        <v>3066</v>
      </c>
      <c r="I183" s="3" t="s">
        <v>3070</v>
      </c>
      <c r="J183" t="s">
        <v>3256</v>
      </c>
      <c r="K183">
        <v>10</v>
      </c>
      <c r="L183" t="s">
        <v>4292</v>
      </c>
      <c r="M183" s="3" t="s">
        <v>4279</v>
      </c>
      <c r="N183">
        <v>2021.95</v>
      </c>
    </row>
    <row r="184" spans="1:14" x14ac:dyDescent="0.35">
      <c r="A184" t="s">
        <v>196</v>
      </c>
      <c r="B184" t="s">
        <v>4454</v>
      </c>
      <c r="C184" t="s">
        <v>1396</v>
      </c>
      <c r="D184" s="3" t="s">
        <v>2409</v>
      </c>
      <c r="E184">
        <v>1</v>
      </c>
      <c r="F184">
        <v>600.54</v>
      </c>
      <c r="G184" t="s">
        <v>2574</v>
      </c>
      <c r="H184" s="3" t="s">
        <v>3065</v>
      </c>
      <c r="I184" s="3" t="s">
        <v>3074</v>
      </c>
      <c r="J184" t="s">
        <v>3257</v>
      </c>
      <c r="K184">
        <v>4</v>
      </c>
      <c r="L184" t="s">
        <v>4277</v>
      </c>
      <c r="M184" s="3" t="s">
        <v>4282</v>
      </c>
      <c r="N184">
        <v>600.54</v>
      </c>
    </row>
    <row r="185" spans="1:14" x14ac:dyDescent="0.35">
      <c r="A185" t="s">
        <v>197</v>
      </c>
      <c r="B185" t="s">
        <v>4455</v>
      </c>
      <c r="C185" t="s">
        <v>1397</v>
      </c>
      <c r="D185" s="3" t="s">
        <v>2403</v>
      </c>
      <c r="E185">
        <v>5</v>
      </c>
      <c r="F185">
        <v>186.28</v>
      </c>
      <c r="G185" t="s">
        <v>2575</v>
      </c>
      <c r="H185" s="3" t="s">
        <v>3065</v>
      </c>
      <c r="I185" s="3" t="s">
        <v>3073</v>
      </c>
      <c r="J185" t="s">
        <v>3258</v>
      </c>
      <c r="K185">
        <v>8</v>
      </c>
      <c r="L185" t="s">
        <v>4275</v>
      </c>
      <c r="M185" s="3" t="s">
        <v>4280</v>
      </c>
      <c r="N185">
        <v>931.4</v>
      </c>
    </row>
    <row r="186" spans="1:14" x14ac:dyDescent="0.35">
      <c r="A186" t="s">
        <v>198</v>
      </c>
      <c r="B186" t="s">
        <v>4456</v>
      </c>
      <c r="C186" t="s">
        <v>1398</v>
      </c>
      <c r="D186" s="3" t="s">
        <v>2405</v>
      </c>
      <c r="E186">
        <v>4</v>
      </c>
      <c r="F186">
        <v>214.54</v>
      </c>
      <c r="G186" t="s">
        <v>2576</v>
      </c>
      <c r="H186" s="3" t="s">
        <v>3068</v>
      </c>
      <c r="I186" s="3" t="s">
        <v>3071</v>
      </c>
      <c r="J186" t="s">
        <v>3259</v>
      </c>
      <c r="K186">
        <v>7</v>
      </c>
      <c r="L186" t="s">
        <v>4292</v>
      </c>
      <c r="M186" s="3" t="s">
        <v>4279</v>
      </c>
      <c r="N186">
        <v>858.16</v>
      </c>
    </row>
    <row r="187" spans="1:14" x14ac:dyDescent="0.35">
      <c r="A187" t="s">
        <v>199</v>
      </c>
      <c r="B187" t="s">
        <v>4345</v>
      </c>
      <c r="C187" t="s">
        <v>1399</v>
      </c>
      <c r="D187" s="3" t="s">
        <v>2408</v>
      </c>
      <c r="E187">
        <v>1</v>
      </c>
      <c r="F187">
        <v>210.7</v>
      </c>
      <c r="G187" t="s">
        <v>2577</v>
      </c>
      <c r="H187" s="3" t="s">
        <v>3066</v>
      </c>
      <c r="I187" s="3" t="s">
        <v>3070</v>
      </c>
      <c r="J187" t="s">
        <v>3260</v>
      </c>
      <c r="K187">
        <v>2</v>
      </c>
      <c r="L187" t="s">
        <v>4277</v>
      </c>
      <c r="M187" s="3" t="s">
        <v>4279</v>
      </c>
      <c r="N187">
        <v>210.7</v>
      </c>
    </row>
    <row r="188" spans="1:14" x14ac:dyDescent="0.35">
      <c r="A188" t="s">
        <v>200</v>
      </c>
      <c r="B188" t="s">
        <v>4457</v>
      </c>
      <c r="C188" t="s">
        <v>1400</v>
      </c>
      <c r="D188" s="3" t="s">
        <v>2404</v>
      </c>
      <c r="E188">
        <v>2</v>
      </c>
      <c r="F188">
        <v>133.55000000000001</v>
      </c>
      <c r="G188" t="s">
        <v>2578</v>
      </c>
      <c r="H188" s="3" t="s">
        <v>3069</v>
      </c>
      <c r="I188" s="3" t="s">
        <v>3074</v>
      </c>
      <c r="J188" t="s">
        <v>3261</v>
      </c>
      <c r="K188">
        <v>7</v>
      </c>
      <c r="L188" t="s">
        <v>4276</v>
      </c>
      <c r="M188" s="3" t="s">
        <v>4281</v>
      </c>
      <c r="N188">
        <v>267.10000000000002</v>
      </c>
    </row>
    <row r="189" spans="1:14" x14ac:dyDescent="0.35">
      <c r="A189" t="s">
        <v>201</v>
      </c>
      <c r="B189" t="s">
        <v>4458</v>
      </c>
      <c r="C189" t="s">
        <v>1401</v>
      </c>
      <c r="D189" s="3" t="s">
        <v>2406</v>
      </c>
      <c r="E189">
        <v>1</v>
      </c>
      <c r="F189">
        <v>590.87</v>
      </c>
      <c r="G189" t="s">
        <v>2579</v>
      </c>
      <c r="H189" s="3" t="s">
        <v>3068</v>
      </c>
      <c r="I189" s="3" t="s">
        <v>3072</v>
      </c>
      <c r="J189" t="s">
        <v>3262</v>
      </c>
      <c r="K189">
        <v>6</v>
      </c>
      <c r="L189" t="s">
        <v>4276</v>
      </c>
      <c r="M189" s="3" t="s">
        <v>4279</v>
      </c>
      <c r="N189">
        <v>590.87</v>
      </c>
    </row>
    <row r="190" spans="1:14" x14ac:dyDescent="0.35">
      <c r="A190" t="s">
        <v>202</v>
      </c>
      <c r="B190" t="s">
        <v>4459</v>
      </c>
      <c r="C190" t="s">
        <v>1402</v>
      </c>
      <c r="D190" s="3" t="s">
        <v>2406</v>
      </c>
      <c r="E190">
        <v>2</v>
      </c>
      <c r="F190">
        <v>363.91</v>
      </c>
      <c r="G190" t="s">
        <v>2580</v>
      </c>
      <c r="H190" s="3" t="s">
        <v>3068</v>
      </c>
      <c r="I190" s="3" t="s">
        <v>3070</v>
      </c>
      <c r="J190" t="s">
        <v>3263</v>
      </c>
      <c r="K190">
        <v>2</v>
      </c>
      <c r="L190" t="s">
        <v>4276</v>
      </c>
      <c r="M190" s="3" t="s">
        <v>4279</v>
      </c>
      <c r="N190">
        <v>727.82</v>
      </c>
    </row>
    <row r="191" spans="1:14" x14ac:dyDescent="0.35">
      <c r="A191" t="s">
        <v>203</v>
      </c>
      <c r="B191" t="s">
        <v>4460</v>
      </c>
      <c r="C191" t="s">
        <v>1403</v>
      </c>
      <c r="D191" s="3" t="s">
        <v>2407</v>
      </c>
      <c r="E191">
        <v>5</v>
      </c>
      <c r="F191">
        <v>429.45</v>
      </c>
      <c r="G191" t="s">
        <v>2581</v>
      </c>
      <c r="H191" s="3" t="s">
        <v>3068</v>
      </c>
      <c r="I191" s="3" t="s">
        <v>3071</v>
      </c>
      <c r="J191" t="s">
        <v>3264</v>
      </c>
      <c r="K191">
        <v>5</v>
      </c>
      <c r="L191" t="s">
        <v>4277</v>
      </c>
      <c r="M191" s="3" t="s">
        <v>4280</v>
      </c>
      <c r="N191">
        <v>2147.25</v>
      </c>
    </row>
    <row r="192" spans="1:14" x14ac:dyDescent="0.35">
      <c r="A192" t="s">
        <v>204</v>
      </c>
      <c r="B192" t="s">
        <v>4453</v>
      </c>
      <c r="C192" t="s">
        <v>1404</v>
      </c>
      <c r="D192" s="3" t="s">
        <v>2407</v>
      </c>
      <c r="E192">
        <v>3</v>
      </c>
      <c r="F192">
        <v>223.7</v>
      </c>
      <c r="G192" t="s">
        <v>2582</v>
      </c>
      <c r="H192" s="3" t="s">
        <v>3069</v>
      </c>
      <c r="I192" s="3" t="s">
        <v>3072</v>
      </c>
      <c r="J192" t="s">
        <v>3265</v>
      </c>
      <c r="K192">
        <v>3</v>
      </c>
      <c r="L192" t="s">
        <v>4275</v>
      </c>
      <c r="M192" s="3" t="s">
        <v>4280</v>
      </c>
      <c r="N192">
        <v>671.1</v>
      </c>
    </row>
    <row r="193" spans="1:14" x14ac:dyDescent="0.35">
      <c r="A193" t="s">
        <v>205</v>
      </c>
      <c r="B193" t="s">
        <v>4461</v>
      </c>
      <c r="C193" t="s">
        <v>1405</v>
      </c>
      <c r="D193" s="3" t="s">
        <v>2408</v>
      </c>
      <c r="E193">
        <v>2</v>
      </c>
      <c r="F193">
        <v>488.87</v>
      </c>
      <c r="G193" t="s">
        <v>2583</v>
      </c>
      <c r="H193" s="3" t="s">
        <v>3066</v>
      </c>
      <c r="I193" s="3" t="s">
        <v>3071</v>
      </c>
      <c r="J193" t="s">
        <v>3266</v>
      </c>
      <c r="K193">
        <v>4</v>
      </c>
      <c r="L193" t="s">
        <v>4276</v>
      </c>
      <c r="M193" s="3" t="s">
        <v>4282</v>
      </c>
      <c r="N193">
        <v>977.74</v>
      </c>
    </row>
    <row r="194" spans="1:14" x14ac:dyDescent="0.35">
      <c r="A194" t="s">
        <v>206</v>
      </c>
      <c r="B194" t="s">
        <v>4462</v>
      </c>
      <c r="C194" t="s">
        <v>1406</v>
      </c>
      <c r="D194" s="3" t="s">
        <v>2409</v>
      </c>
      <c r="E194">
        <v>1</v>
      </c>
      <c r="F194">
        <v>645.46</v>
      </c>
      <c r="G194" t="s">
        <v>2541</v>
      </c>
      <c r="H194" s="3" t="s">
        <v>3068</v>
      </c>
      <c r="I194" s="3" t="s">
        <v>3071</v>
      </c>
      <c r="J194" t="s">
        <v>3267</v>
      </c>
      <c r="K194">
        <v>5</v>
      </c>
      <c r="L194" t="s">
        <v>4275</v>
      </c>
      <c r="M194" s="3" t="s">
        <v>4282</v>
      </c>
      <c r="N194">
        <v>645.46</v>
      </c>
    </row>
    <row r="195" spans="1:14" x14ac:dyDescent="0.35">
      <c r="A195" t="s">
        <v>207</v>
      </c>
      <c r="B195" t="s">
        <v>4463</v>
      </c>
      <c r="C195" t="s">
        <v>1407</v>
      </c>
      <c r="D195" s="3" t="s">
        <v>2407</v>
      </c>
      <c r="E195">
        <v>1</v>
      </c>
      <c r="F195">
        <v>46.66</v>
      </c>
      <c r="G195" t="s">
        <v>2584</v>
      </c>
      <c r="H195" s="3" t="s">
        <v>3069</v>
      </c>
      <c r="I195" s="3" t="s">
        <v>3071</v>
      </c>
      <c r="J195" t="s">
        <v>3268</v>
      </c>
      <c r="K195">
        <v>6</v>
      </c>
      <c r="L195" t="s">
        <v>4292</v>
      </c>
      <c r="M195" s="3" t="s">
        <v>4282</v>
      </c>
      <c r="N195">
        <v>46.66</v>
      </c>
    </row>
    <row r="196" spans="1:14" x14ac:dyDescent="0.35">
      <c r="A196" t="s">
        <v>208</v>
      </c>
      <c r="B196" t="s">
        <v>4464</v>
      </c>
      <c r="C196" t="s">
        <v>1408</v>
      </c>
      <c r="D196" s="3" t="s">
        <v>2403</v>
      </c>
      <c r="E196">
        <v>1</v>
      </c>
      <c r="F196">
        <v>249.57</v>
      </c>
      <c r="G196" t="s">
        <v>2585</v>
      </c>
      <c r="H196" s="3" t="s">
        <v>3069</v>
      </c>
      <c r="I196" s="3" t="s">
        <v>3070</v>
      </c>
      <c r="J196" t="s">
        <v>3269</v>
      </c>
      <c r="K196">
        <v>3</v>
      </c>
      <c r="L196" t="s">
        <v>4276</v>
      </c>
      <c r="M196" s="3" t="s">
        <v>4282</v>
      </c>
      <c r="N196">
        <v>249.57</v>
      </c>
    </row>
    <row r="197" spans="1:14" x14ac:dyDescent="0.35">
      <c r="A197" t="s">
        <v>209</v>
      </c>
      <c r="B197" t="s">
        <v>4465</v>
      </c>
      <c r="C197" t="s">
        <v>1409</v>
      </c>
      <c r="D197" s="3" t="s">
        <v>2406</v>
      </c>
      <c r="E197">
        <v>3</v>
      </c>
      <c r="F197">
        <v>619.21</v>
      </c>
      <c r="G197" t="s">
        <v>2586</v>
      </c>
      <c r="H197" s="3" t="s">
        <v>3065</v>
      </c>
      <c r="I197" s="3" t="s">
        <v>3071</v>
      </c>
      <c r="J197" t="s">
        <v>3270</v>
      </c>
      <c r="K197">
        <v>6</v>
      </c>
      <c r="L197" t="s">
        <v>4292</v>
      </c>
      <c r="M197" s="3" t="s">
        <v>4280</v>
      </c>
      <c r="N197">
        <v>1857.63</v>
      </c>
    </row>
    <row r="198" spans="1:14" x14ac:dyDescent="0.35">
      <c r="A198" t="s">
        <v>210</v>
      </c>
      <c r="B198" t="s">
        <v>4466</v>
      </c>
      <c r="C198" t="s">
        <v>1410</v>
      </c>
      <c r="D198" s="3" t="s">
        <v>2409</v>
      </c>
      <c r="E198">
        <v>4</v>
      </c>
      <c r="F198">
        <v>217.13</v>
      </c>
      <c r="G198" t="s">
        <v>2587</v>
      </c>
      <c r="H198" s="3" t="s">
        <v>3069</v>
      </c>
      <c r="I198" s="3" t="s">
        <v>3073</v>
      </c>
      <c r="J198" t="s">
        <v>3271</v>
      </c>
      <c r="K198">
        <v>8</v>
      </c>
      <c r="L198" t="s">
        <v>4277</v>
      </c>
      <c r="M198" s="3" t="s">
        <v>4280</v>
      </c>
      <c r="N198">
        <v>868.52</v>
      </c>
    </row>
    <row r="199" spans="1:14" x14ac:dyDescent="0.35">
      <c r="A199" t="s">
        <v>211</v>
      </c>
      <c r="B199" t="s">
        <v>4467</v>
      </c>
      <c r="C199" t="s">
        <v>1411</v>
      </c>
      <c r="D199" s="3" t="s">
        <v>2408</v>
      </c>
      <c r="E199">
        <v>5</v>
      </c>
      <c r="F199">
        <v>221.51</v>
      </c>
      <c r="G199" t="s">
        <v>2588</v>
      </c>
      <c r="H199" s="3" t="s">
        <v>3069</v>
      </c>
      <c r="I199" s="3" t="s">
        <v>3072</v>
      </c>
      <c r="J199" t="s">
        <v>3272</v>
      </c>
      <c r="K199">
        <v>5</v>
      </c>
      <c r="L199" t="s">
        <v>4277</v>
      </c>
      <c r="M199" s="3" t="s">
        <v>4279</v>
      </c>
      <c r="N199">
        <v>1107.55</v>
      </c>
    </row>
    <row r="200" spans="1:14" x14ac:dyDescent="0.35">
      <c r="A200" t="s">
        <v>212</v>
      </c>
      <c r="B200" t="s">
        <v>4468</v>
      </c>
      <c r="C200" t="s">
        <v>1412</v>
      </c>
      <c r="D200" s="3" t="s">
        <v>2408</v>
      </c>
      <c r="E200">
        <v>4</v>
      </c>
      <c r="F200">
        <v>340.3</v>
      </c>
      <c r="G200" t="s">
        <v>2444</v>
      </c>
      <c r="H200" s="3" t="s">
        <v>3069</v>
      </c>
      <c r="I200" s="3" t="s">
        <v>3071</v>
      </c>
      <c r="J200" t="s">
        <v>3273</v>
      </c>
      <c r="K200">
        <v>8</v>
      </c>
      <c r="L200" t="s">
        <v>4275</v>
      </c>
      <c r="M200" s="3" t="s">
        <v>4279</v>
      </c>
      <c r="N200">
        <v>1361.2</v>
      </c>
    </row>
    <row r="201" spans="1:14" x14ac:dyDescent="0.35">
      <c r="A201" t="s">
        <v>213</v>
      </c>
      <c r="B201" t="s">
        <v>4469</v>
      </c>
      <c r="C201" t="s">
        <v>1413</v>
      </c>
      <c r="D201" s="3" t="s">
        <v>2404</v>
      </c>
      <c r="E201">
        <v>1</v>
      </c>
      <c r="F201">
        <v>625</v>
      </c>
      <c r="G201" t="s">
        <v>2589</v>
      </c>
      <c r="H201" s="3" t="s">
        <v>3066</v>
      </c>
      <c r="I201" s="3" t="s">
        <v>3072</v>
      </c>
      <c r="J201" t="s">
        <v>3274</v>
      </c>
      <c r="K201">
        <v>5</v>
      </c>
      <c r="L201" t="s">
        <v>4277</v>
      </c>
      <c r="M201" s="3" t="s">
        <v>4282</v>
      </c>
      <c r="N201">
        <v>625</v>
      </c>
    </row>
    <row r="202" spans="1:14" x14ac:dyDescent="0.35">
      <c r="A202" t="s">
        <v>214</v>
      </c>
      <c r="B202" t="s">
        <v>4470</v>
      </c>
      <c r="C202" t="s">
        <v>1414</v>
      </c>
      <c r="D202" s="3" t="s">
        <v>2405</v>
      </c>
      <c r="E202">
        <v>5</v>
      </c>
      <c r="F202">
        <v>433.26</v>
      </c>
      <c r="G202" t="s">
        <v>2440</v>
      </c>
      <c r="H202" s="3" t="s">
        <v>3067</v>
      </c>
      <c r="I202" s="3" t="s">
        <v>3073</v>
      </c>
      <c r="J202" t="s">
        <v>3275</v>
      </c>
      <c r="K202">
        <v>9</v>
      </c>
      <c r="L202" t="s">
        <v>4275</v>
      </c>
      <c r="M202" s="3" t="s">
        <v>4282</v>
      </c>
      <c r="N202">
        <v>2166.3000000000002</v>
      </c>
    </row>
    <row r="203" spans="1:14" x14ac:dyDescent="0.35">
      <c r="A203" t="s">
        <v>215</v>
      </c>
      <c r="B203" t="s">
        <v>4471</v>
      </c>
      <c r="C203" t="s">
        <v>1415</v>
      </c>
      <c r="D203" s="3" t="s">
        <v>2403</v>
      </c>
      <c r="E203">
        <v>2</v>
      </c>
      <c r="F203">
        <v>674.9</v>
      </c>
      <c r="G203" t="s">
        <v>2482</v>
      </c>
      <c r="H203" s="3" t="s">
        <v>3066</v>
      </c>
      <c r="I203" s="3" t="s">
        <v>3070</v>
      </c>
      <c r="J203" t="s">
        <v>3276</v>
      </c>
      <c r="K203">
        <v>4</v>
      </c>
      <c r="L203" t="s">
        <v>4275</v>
      </c>
      <c r="M203" s="3" t="s">
        <v>4281</v>
      </c>
      <c r="N203">
        <v>1349.8</v>
      </c>
    </row>
    <row r="204" spans="1:14" x14ac:dyDescent="0.35">
      <c r="A204" t="s">
        <v>216</v>
      </c>
      <c r="B204" t="s">
        <v>4472</v>
      </c>
      <c r="C204" t="s">
        <v>1416</v>
      </c>
      <c r="D204" s="3" t="s">
        <v>2403</v>
      </c>
      <c r="E204">
        <v>3</v>
      </c>
      <c r="F204">
        <v>253.98</v>
      </c>
      <c r="G204" t="s">
        <v>2535</v>
      </c>
      <c r="H204" s="3" t="s">
        <v>3067</v>
      </c>
      <c r="I204" s="3" t="s">
        <v>3071</v>
      </c>
      <c r="J204" t="s">
        <v>3277</v>
      </c>
      <c r="K204">
        <v>3</v>
      </c>
      <c r="L204" t="s">
        <v>4276</v>
      </c>
      <c r="M204" s="3" t="s">
        <v>4280</v>
      </c>
      <c r="N204">
        <v>761.94</v>
      </c>
    </row>
    <row r="205" spans="1:14" x14ac:dyDescent="0.35">
      <c r="A205" t="s">
        <v>217</v>
      </c>
      <c r="B205" t="s">
        <v>4378</v>
      </c>
      <c r="C205" t="s">
        <v>1417</v>
      </c>
      <c r="D205" s="3" t="s">
        <v>2407</v>
      </c>
      <c r="E205">
        <v>3</v>
      </c>
      <c r="F205">
        <v>356.84</v>
      </c>
      <c r="G205" t="s">
        <v>2590</v>
      </c>
      <c r="H205" s="3" t="s">
        <v>3066</v>
      </c>
      <c r="I205" s="3" t="s">
        <v>3070</v>
      </c>
      <c r="J205" t="s">
        <v>3278</v>
      </c>
      <c r="K205">
        <v>5</v>
      </c>
      <c r="L205" t="s">
        <v>4275</v>
      </c>
      <c r="M205" s="3" t="s">
        <v>4278</v>
      </c>
      <c r="N205">
        <v>1070.52</v>
      </c>
    </row>
    <row r="206" spans="1:14" x14ac:dyDescent="0.35">
      <c r="A206" t="s">
        <v>218</v>
      </c>
      <c r="B206" t="s">
        <v>4473</v>
      </c>
      <c r="C206" t="s">
        <v>1418</v>
      </c>
      <c r="D206" s="3" t="s">
        <v>2408</v>
      </c>
      <c r="E206">
        <v>4</v>
      </c>
      <c r="F206">
        <v>413.71</v>
      </c>
      <c r="G206" t="s">
        <v>2539</v>
      </c>
      <c r="H206" s="3" t="s">
        <v>3068</v>
      </c>
      <c r="I206" s="3" t="s">
        <v>3071</v>
      </c>
      <c r="J206" t="s">
        <v>3279</v>
      </c>
      <c r="K206">
        <v>9</v>
      </c>
      <c r="L206" t="s">
        <v>4276</v>
      </c>
      <c r="M206" s="3" t="s">
        <v>4281</v>
      </c>
      <c r="N206">
        <v>1654.84</v>
      </c>
    </row>
    <row r="207" spans="1:14" x14ac:dyDescent="0.35">
      <c r="A207" t="s">
        <v>219</v>
      </c>
      <c r="B207" t="s">
        <v>4474</v>
      </c>
      <c r="C207" t="s">
        <v>1419</v>
      </c>
      <c r="D207" s="3" t="s">
        <v>2409</v>
      </c>
      <c r="E207">
        <v>3</v>
      </c>
      <c r="F207">
        <v>147.38999999999999</v>
      </c>
      <c r="G207" t="s">
        <v>2591</v>
      </c>
      <c r="H207" s="3" t="s">
        <v>3065</v>
      </c>
      <c r="I207" s="3" t="s">
        <v>3072</v>
      </c>
      <c r="J207" t="s">
        <v>3280</v>
      </c>
      <c r="K207">
        <v>3</v>
      </c>
      <c r="L207" t="s">
        <v>4292</v>
      </c>
      <c r="M207" s="3" t="s">
        <v>4280</v>
      </c>
      <c r="N207">
        <v>442.17</v>
      </c>
    </row>
    <row r="208" spans="1:14" x14ac:dyDescent="0.35">
      <c r="A208" t="s">
        <v>220</v>
      </c>
      <c r="B208" t="s">
        <v>4446</v>
      </c>
      <c r="C208" t="s">
        <v>1420</v>
      </c>
      <c r="D208" s="3" t="s">
        <v>2408</v>
      </c>
      <c r="E208">
        <v>4</v>
      </c>
      <c r="F208">
        <v>229.1</v>
      </c>
      <c r="G208" t="s">
        <v>2592</v>
      </c>
      <c r="H208" s="3" t="s">
        <v>3068</v>
      </c>
      <c r="I208" s="3" t="s">
        <v>3072</v>
      </c>
      <c r="J208" t="s">
        <v>3281</v>
      </c>
      <c r="K208">
        <v>8</v>
      </c>
      <c r="L208" t="s">
        <v>4277</v>
      </c>
      <c r="M208" s="3" t="s">
        <v>4280</v>
      </c>
      <c r="N208">
        <v>916.4</v>
      </c>
    </row>
    <row r="209" spans="1:14" x14ac:dyDescent="0.35">
      <c r="A209" t="s">
        <v>221</v>
      </c>
      <c r="B209" t="s">
        <v>4475</v>
      </c>
      <c r="C209" t="s">
        <v>1421</v>
      </c>
      <c r="D209" s="3" t="s">
        <v>2404</v>
      </c>
      <c r="E209">
        <v>1</v>
      </c>
      <c r="F209">
        <v>121.96</v>
      </c>
      <c r="G209" t="s">
        <v>2593</v>
      </c>
      <c r="H209" s="3" t="s">
        <v>3065</v>
      </c>
      <c r="I209" s="3" t="s">
        <v>3073</v>
      </c>
      <c r="J209" t="s">
        <v>3282</v>
      </c>
      <c r="K209">
        <v>3</v>
      </c>
      <c r="L209" t="s">
        <v>4292</v>
      </c>
      <c r="M209" s="3" t="s">
        <v>4282</v>
      </c>
      <c r="N209">
        <v>121.96</v>
      </c>
    </row>
    <row r="210" spans="1:14" x14ac:dyDescent="0.35">
      <c r="A210" t="s">
        <v>222</v>
      </c>
      <c r="B210" t="s">
        <v>4476</v>
      </c>
      <c r="C210" t="s">
        <v>1422</v>
      </c>
      <c r="D210" s="3" t="s">
        <v>2409</v>
      </c>
      <c r="E210">
        <v>2</v>
      </c>
      <c r="F210">
        <v>408.32</v>
      </c>
      <c r="G210" t="s">
        <v>2581</v>
      </c>
      <c r="H210" s="3" t="s">
        <v>3066</v>
      </c>
      <c r="I210" s="3" t="s">
        <v>3070</v>
      </c>
      <c r="J210" t="s">
        <v>3283</v>
      </c>
      <c r="K210">
        <v>3</v>
      </c>
      <c r="L210" t="s">
        <v>4276</v>
      </c>
      <c r="M210" s="3" t="s">
        <v>4281</v>
      </c>
      <c r="N210">
        <v>816.64</v>
      </c>
    </row>
    <row r="211" spans="1:14" x14ac:dyDescent="0.35">
      <c r="A211" t="s">
        <v>223</v>
      </c>
      <c r="B211" t="s">
        <v>4477</v>
      </c>
      <c r="C211" t="s">
        <v>1423</v>
      </c>
      <c r="D211" s="3" t="s">
        <v>2405</v>
      </c>
      <c r="E211">
        <v>5</v>
      </c>
      <c r="F211">
        <v>187.97</v>
      </c>
      <c r="G211" t="s">
        <v>2417</v>
      </c>
      <c r="H211" s="3" t="s">
        <v>3069</v>
      </c>
      <c r="I211" s="3" t="s">
        <v>3072</v>
      </c>
      <c r="J211" t="s">
        <v>3284</v>
      </c>
      <c r="K211">
        <v>9</v>
      </c>
      <c r="L211" t="s">
        <v>4275</v>
      </c>
      <c r="M211" s="3" t="s">
        <v>4282</v>
      </c>
      <c r="N211">
        <v>939.85</v>
      </c>
    </row>
    <row r="212" spans="1:14" x14ac:dyDescent="0.35">
      <c r="A212" t="s">
        <v>224</v>
      </c>
      <c r="B212" t="s">
        <v>4478</v>
      </c>
      <c r="C212" t="s">
        <v>1424</v>
      </c>
      <c r="D212" s="3" t="s">
        <v>2406</v>
      </c>
      <c r="E212">
        <v>3</v>
      </c>
      <c r="F212">
        <v>358.48</v>
      </c>
      <c r="G212" t="s">
        <v>2532</v>
      </c>
      <c r="H212" s="3" t="s">
        <v>3068</v>
      </c>
      <c r="I212" s="3" t="s">
        <v>3073</v>
      </c>
      <c r="J212" t="s">
        <v>3285</v>
      </c>
      <c r="K212">
        <v>7</v>
      </c>
      <c r="L212" t="s">
        <v>4276</v>
      </c>
      <c r="M212" s="3" t="s">
        <v>4281</v>
      </c>
      <c r="N212">
        <v>1075.44</v>
      </c>
    </row>
    <row r="213" spans="1:14" x14ac:dyDescent="0.35">
      <c r="A213" t="s">
        <v>225</v>
      </c>
      <c r="B213" t="s">
        <v>4479</v>
      </c>
      <c r="C213" t="s">
        <v>1425</v>
      </c>
      <c r="D213" s="3" t="s">
        <v>2407</v>
      </c>
      <c r="E213">
        <v>3</v>
      </c>
      <c r="F213">
        <v>193.58</v>
      </c>
      <c r="G213" t="s">
        <v>2594</v>
      </c>
      <c r="H213" s="3" t="s">
        <v>3068</v>
      </c>
      <c r="I213" s="3" t="s">
        <v>3074</v>
      </c>
      <c r="J213" t="s">
        <v>3286</v>
      </c>
      <c r="K213">
        <v>7</v>
      </c>
      <c r="L213" t="s">
        <v>4276</v>
      </c>
      <c r="M213" s="3" t="s">
        <v>4280</v>
      </c>
      <c r="N213">
        <v>580.74</v>
      </c>
    </row>
    <row r="214" spans="1:14" x14ac:dyDescent="0.35">
      <c r="A214" t="s">
        <v>226</v>
      </c>
      <c r="B214" t="s">
        <v>4480</v>
      </c>
      <c r="C214" t="s">
        <v>1426</v>
      </c>
      <c r="D214" s="3" t="s">
        <v>2403</v>
      </c>
      <c r="E214">
        <v>1</v>
      </c>
      <c r="F214">
        <v>265.38</v>
      </c>
      <c r="G214" t="s">
        <v>2595</v>
      </c>
      <c r="H214" s="3" t="s">
        <v>3067</v>
      </c>
      <c r="I214" s="3" t="s">
        <v>3071</v>
      </c>
      <c r="J214" t="s">
        <v>3287</v>
      </c>
      <c r="K214">
        <v>6</v>
      </c>
      <c r="L214" t="s">
        <v>4277</v>
      </c>
      <c r="M214" s="3" t="s">
        <v>4280</v>
      </c>
      <c r="N214">
        <v>265.38</v>
      </c>
    </row>
    <row r="215" spans="1:14" x14ac:dyDescent="0.35">
      <c r="A215" t="s">
        <v>227</v>
      </c>
      <c r="B215" t="s">
        <v>4481</v>
      </c>
      <c r="C215" t="s">
        <v>1427</v>
      </c>
      <c r="D215" s="3" t="s">
        <v>2408</v>
      </c>
      <c r="E215">
        <v>1</v>
      </c>
      <c r="F215">
        <v>634.4</v>
      </c>
      <c r="G215" t="s">
        <v>2596</v>
      </c>
      <c r="H215" s="3" t="s">
        <v>3069</v>
      </c>
      <c r="I215" s="3" t="s">
        <v>3071</v>
      </c>
      <c r="J215" t="s">
        <v>3288</v>
      </c>
      <c r="K215">
        <v>6</v>
      </c>
      <c r="L215" t="s">
        <v>4275</v>
      </c>
      <c r="M215" s="3" t="s">
        <v>4280</v>
      </c>
      <c r="N215">
        <v>634.4</v>
      </c>
    </row>
    <row r="216" spans="1:14" x14ac:dyDescent="0.35">
      <c r="A216" t="s">
        <v>228</v>
      </c>
      <c r="B216" t="s">
        <v>4342</v>
      </c>
      <c r="C216" t="s">
        <v>1428</v>
      </c>
      <c r="D216" s="3" t="s">
        <v>2409</v>
      </c>
      <c r="E216">
        <v>4</v>
      </c>
      <c r="F216">
        <v>305.72000000000003</v>
      </c>
      <c r="G216" t="s">
        <v>2523</v>
      </c>
      <c r="H216" s="3" t="s">
        <v>3066</v>
      </c>
      <c r="I216" s="3" t="s">
        <v>3073</v>
      </c>
      <c r="J216" t="s">
        <v>3289</v>
      </c>
      <c r="K216">
        <v>5</v>
      </c>
      <c r="L216" t="s">
        <v>4292</v>
      </c>
      <c r="M216" s="3" t="s">
        <v>4281</v>
      </c>
      <c r="N216">
        <v>1222.8800000000001</v>
      </c>
    </row>
    <row r="217" spans="1:14" x14ac:dyDescent="0.35">
      <c r="A217" t="s">
        <v>229</v>
      </c>
      <c r="B217" t="s">
        <v>4405</v>
      </c>
      <c r="C217" t="s">
        <v>1429</v>
      </c>
      <c r="D217" s="3" t="s">
        <v>2407</v>
      </c>
      <c r="E217">
        <v>1</v>
      </c>
      <c r="F217">
        <v>303.60000000000002</v>
      </c>
      <c r="G217" t="s">
        <v>2597</v>
      </c>
      <c r="H217" s="3" t="s">
        <v>3069</v>
      </c>
      <c r="I217" s="3" t="s">
        <v>3070</v>
      </c>
      <c r="J217" t="s">
        <v>3290</v>
      </c>
      <c r="K217">
        <v>5</v>
      </c>
      <c r="L217" t="s">
        <v>4276</v>
      </c>
      <c r="M217" s="3" t="s">
        <v>4281</v>
      </c>
      <c r="N217">
        <v>303.60000000000002</v>
      </c>
    </row>
    <row r="218" spans="1:14" x14ac:dyDescent="0.35">
      <c r="A218" t="s">
        <v>230</v>
      </c>
      <c r="B218" t="s">
        <v>4482</v>
      </c>
      <c r="C218" t="s">
        <v>1430</v>
      </c>
      <c r="D218" s="3" t="s">
        <v>2403</v>
      </c>
      <c r="E218">
        <v>4</v>
      </c>
      <c r="F218">
        <v>496</v>
      </c>
      <c r="G218" t="s">
        <v>2465</v>
      </c>
      <c r="H218" s="3" t="s">
        <v>3066</v>
      </c>
      <c r="I218" s="3" t="s">
        <v>3071</v>
      </c>
      <c r="J218" t="s">
        <v>3291</v>
      </c>
      <c r="K218">
        <v>8</v>
      </c>
      <c r="L218" t="s">
        <v>4277</v>
      </c>
      <c r="M218" s="3" t="s">
        <v>4282</v>
      </c>
      <c r="N218">
        <v>1984</v>
      </c>
    </row>
    <row r="219" spans="1:14" x14ac:dyDescent="0.35">
      <c r="A219" t="s">
        <v>231</v>
      </c>
      <c r="B219" t="s">
        <v>4483</v>
      </c>
      <c r="C219" t="s">
        <v>1431</v>
      </c>
      <c r="D219" s="3" t="s">
        <v>2409</v>
      </c>
      <c r="E219">
        <v>4</v>
      </c>
      <c r="F219">
        <v>321.51</v>
      </c>
      <c r="G219" t="s">
        <v>2598</v>
      </c>
      <c r="H219" s="3" t="s">
        <v>3069</v>
      </c>
      <c r="I219" s="3" t="s">
        <v>3072</v>
      </c>
      <c r="J219" t="s">
        <v>3292</v>
      </c>
      <c r="K219">
        <v>9</v>
      </c>
      <c r="L219" t="s">
        <v>4292</v>
      </c>
      <c r="M219" s="3" t="s">
        <v>4282</v>
      </c>
      <c r="N219">
        <v>1286.04</v>
      </c>
    </row>
    <row r="220" spans="1:14" x14ac:dyDescent="0.35">
      <c r="A220" t="s">
        <v>232</v>
      </c>
      <c r="B220" t="s">
        <v>4484</v>
      </c>
      <c r="C220" t="s">
        <v>1432</v>
      </c>
      <c r="D220" s="3" t="s">
        <v>2405</v>
      </c>
      <c r="E220">
        <v>3</v>
      </c>
      <c r="F220">
        <v>112.46</v>
      </c>
      <c r="G220" t="s">
        <v>2599</v>
      </c>
      <c r="H220" s="3" t="s">
        <v>3068</v>
      </c>
      <c r="I220" s="3" t="s">
        <v>3070</v>
      </c>
      <c r="J220" t="s">
        <v>3293</v>
      </c>
      <c r="K220">
        <v>6</v>
      </c>
      <c r="L220" t="s">
        <v>4275</v>
      </c>
      <c r="M220" s="3" t="s">
        <v>4278</v>
      </c>
      <c r="N220">
        <v>337.38</v>
      </c>
    </row>
    <row r="221" spans="1:14" x14ac:dyDescent="0.35">
      <c r="A221" t="s">
        <v>233</v>
      </c>
      <c r="B221" t="s">
        <v>4485</v>
      </c>
      <c r="C221" t="s">
        <v>1433</v>
      </c>
      <c r="D221" s="3" t="s">
        <v>2408</v>
      </c>
      <c r="E221">
        <v>5</v>
      </c>
      <c r="F221">
        <v>61.97</v>
      </c>
      <c r="G221" t="s">
        <v>2600</v>
      </c>
      <c r="H221" s="3" t="s">
        <v>3069</v>
      </c>
      <c r="I221" s="3" t="s">
        <v>3073</v>
      </c>
      <c r="J221" t="s">
        <v>3294</v>
      </c>
      <c r="K221">
        <v>6</v>
      </c>
      <c r="L221" t="s">
        <v>4275</v>
      </c>
      <c r="M221" s="3" t="s">
        <v>4280</v>
      </c>
      <c r="N221">
        <v>309.85000000000002</v>
      </c>
    </row>
    <row r="222" spans="1:14" x14ac:dyDescent="0.35">
      <c r="A222" t="s">
        <v>234</v>
      </c>
      <c r="B222" t="s">
        <v>4486</v>
      </c>
      <c r="C222" t="s">
        <v>1434</v>
      </c>
      <c r="D222" s="3" t="s">
        <v>2408</v>
      </c>
      <c r="E222">
        <v>2</v>
      </c>
      <c r="F222">
        <v>373.17</v>
      </c>
      <c r="G222" t="s">
        <v>2601</v>
      </c>
      <c r="H222" s="3" t="s">
        <v>3067</v>
      </c>
      <c r="I222" s="3" t="s">
        <v>3074</v>
      </c>
      <c r="J222" t="s">
        <v>3295</v>
      </c>
      <c r="K222">
        <v>6</v>
      </c>
      <c r="L222" t="s">
        <v>4275</v>
      </c>
      <c r="M222" s="3" t="s">
        <v>4279</v>
      </c>
      <c r="N222">
        <v>746.34</v>
      </c>
    </row>
    <row r="223" spans="1:14" x14ac:dyDescent="0.35">
      <c r="A223" t="s">
        <v>235</v>
      </c>
      <c r="B223" t="s">
        <v>4487</v>
      </c>
      <c r="C223" t="s">
        <v>1435</v>
      </c>
      <c r="D223" s="3" t="s">
        <v>2405</v>
      </c>
      <c r="E223">
        <v>5</v>
      </c>
      <c r="F223">
        <v>639.37</v>
      </c>
      <c r="G223" t="s">
        <v>2474</v>
      </c>
      <c r="H223" s="3" t="s">
        <v>3065</v>
      </c>
      <c r="I223" s="3" t="s">
        <v>3074</v>
      </c>
      <c r="J223" t="s">
        <v>3296</v>
      </c>
      <c r="K223">
        <v>6</v>
      </c>
      <c r="L223" t="s">
        <v>4275</v>
      </c>
      <c r="M223" s="3" t="s">
        <v>4282</v>
      </c>
      <c r="N223">
        <v>3196.85</v>
      </c>
    </row>
    <row r="224" spans="1:14" x14ac:dyDescent="0.35">
      <c r="A224" t="s">
        <v>236</v>
      </c>
      <c r="B224" t="s">
        <v>4488</v>
      </c>
      <c r="C224" t="s">
        <v>1436</v>
      </c>
      <c r="D224" s="3" t="s">
        <v>2406</v>
      </c>
      <c r="E224">
        <v>4</v>
      </c>
      <c r="F224">
        <v>693.36</v>
      </c>
      <c r="G224" t="s">
        <v>2602</v>
      </c>
      <c r="H224" s="3" t="s">
        <v>3066</v>
      </c>
      <c r="I224" s="3" t="s">
        <v>3070</v>
      </c>
      <c r="J224" t="s">
        <v>3297</v>
      </c>
      <c r="K224">
        <v>8</v>
      </c>
      <c r="L224" t="s">
        <v>4292</v>
      </c>
      <c r="M224" s="3" t="s">
        <v>4278</v>
      </c>
      <c r="N224">
        <v>2773.44</v>
      </c>
    </row>
    <row r="225" spans="1:14" x14ac:dyDescent="0.35">
      <c r="A225" t="s">
        <v>237</v>
      </c>
      <c r="B225" t="s">
        <v>4341</v>
      </c>
      <c r="C225" t="s">
        <v>1437</v>
      </c>
      <c r="D225" s="3" t="s">
        <v>2404</v>
      </c>
      <c r="E225">
        <v>4</v>
      </c>
      <c r="F225">
        <v>692.91</v>
      </c>
      <c r="G225" t="s">
        <v>2523</v>
      </c>
      <c r="H225" s="3" t="s">
        <v>3067</v>
      </c>
      <c r="I225" s="3" t="s">
        <v>3074</v>
      </c>
      <c r="J225" t="s">
        <v>3298</v>
      </c>
      <c r="K225">
        <v>9</v>
      </c>
      <c r="L225" t="s">
        <v>4275</v>
      </c>
      <c r="M225" s="3" t="s">
        <v>4278</v>
      </c>
      <c r="N225">
        <v>2771.64</v>
      </c>
    </row>
    <row r="226" spans="1:14" x14ac:dyDescent="0.35">
      <c r="A226" t="s">
        <v>238</v>
      </c>
      <c r="B226" t="s">
        <v>4489</v>
      </c>
      <c r="C226" t="s">
        <v>1438</v>
      </c>
      <c r="D226" s="3" t="s">
        <v>2407</v>
      </c>
      <c r="E226">
        <v>4</v>
      </c>
      <c r="F226">
        <v>91.46</v>
      </c>
      <c r="G226" t="s">
        <v>2603</v>
      </c>
      <c r="H226" s="3" t="s">
        <v>3069</v>
      </c>
      <c r="I226" s="3" t="s">
        <v>3071</v>
      </c>
      <c r="J226" t="s">
        <v>3299</v>
      </c>
      <c r="K226">
        <v>9</v>
      </c>
      <c r="L226" t="s">
        <v>4275</v>
      </c>
      <c r="M226" s="3" t="s">
        <v>4279</v>
      </c>
      <c r="N226">
        <v>365.84</v>
      </c>
    </row>
    <row r="227" spans="1:14" x14ac:dyDescent="0.35">
      <c r="A227" t="s">
        <v>239</v>
      </c>
      <c r="B227" t="s">
        <v>4490</v>
      </c>
      <c r="C227" t="s">
        <v>1439</v>
      </c>
      <c r="D227" s="3" t="s">
        <v>2404</v>
      </c>
      <c r="E227">
        <v>3</v>
      </c>
      <c r="F227">
        <v>273.95999999999998</v>
      </c>
      <c r="G227" t="s">
        <v>2604</v>
      </c>
      <c r="H227" s="3" t="s">
        <v>3065</v>
      </c>
      <c r="I227" s="3" t="s">
        <v>3072</v>
      </c>
      <c r="J227" t="s">
        <v>3300</v>
      </c>
      <c r="K227">
        <v>8</v>
      </c>
      <c r="L227" t="s">
        <v>4275</v>
      </c>
      <c r="M227" s="3" t="s">
        <v>4282</v>
      </c>
      <c r="N227">
        <v>821.88</v>
      </c>
    </row>
    <row r="228" spans="1:14" x14ac:dyDescent="0.35">
      <c r="A228" t="s">
        <v>240</v>
      </c>
      <c r="B228" t="s">
        <v>4491</v>
      </c>
      <c r="C228" t="s">
        <v>1440</v>
      </c>
      <c r="D228" s="3" t="s">
        <v>2409</v>
      </c>
      <c r="E228">
        <v>3</v>
      </c>
      <c r="F228">
        <v>588.04999999999995</v>
      </c>
      <c r="G228" t="s">
        <v>2605</v>
      </c>
      <c r="H228" s="3" t="s">
        <v>3068</v>
      </c>
      <c r="I228" s="3" t="s">
        <v>3073</v>
      </c>
      <c r="J228" t="s">
        <v>3301</v>
      </c>
      <c r="K228">
        <v>8</v>
      </c>
      <c r="L228" t="s">
        <v>4292</v>
      </c>
      <c r="M228" s="3" t="s">
        <v>4278</v>
      </c>
      <c r="N228">
        <v>1764.15</v>
      </c>
    </row>
    <row r="229" spans="1:14" x14ac:dyDescent="0.35">
      <c r="A229" t="s">
        <v>241</v>
      </c>
      <c r="B229" t="s">
        <v>4492</v>
      </c>
      <c r="C229" t="s">
        <v>1441</v>
      </c>
      <c r="D229" s="3" t="s">
        <v>2403</v>
      </c>
      <c r="E229">
        <v>2</v>
      </c>
      <c r="F229">
        <v>365.17</v>
      </c>
      <c r="G229" t="s">
        <v>2528</v>
      </c>
      <c r="H229" s="3" t="s">
        <v>3066</v>
      </c>
      <c r="I229" s="3" t="s">
        <v>3071</v>
      </c>
      <c r="J229" t="s">
        <v>3302</v>
      </c>
      <c r="K229">
        <v>4</v>
      </c>
      <c r="L229" t="s">
        <v>4276</v>
      </c>
      <c r="M229" s="3" t="s">
        <v>4281</v>
      </c>
      <c r="N229">
        <v>730.34</v>
      </c>
    </row>
    <row r="230" spans="1:14" x14ac:dyDescent="0.35">
      <c r="A230" t="s">
        <v>242</v>
      </c>
      <c r="B230" t="s">
        <v>4493</v>
      </c>
      <c r="C230" t="s">
        <v>1442</v>
      </c>
      <c r="D230" s="3" t="s">
        <v>2406</v>
      </c>
      <c r="E230">
        <v>4</v>
      </c>
      <c r="F230">
        <v>385.92</v>
      </c>
      <c r="G230" t="s">
        <v>2606</v>
      </c>
      <c r="H230" s="3" t="s">
        <v>3067</v>
      </c>
      <c r="I230" s="3" t="s">
        <v>3071</v>
      </c>
      <c r="J230" t="s">
        <v>3303</v>
      </c>
      <c r="K230">
        <v>8</v>
      </c>
      <c r="L230" t="s">
        <v>4292</v>
      </c>
      <c r="M230" s="3" t="s">
        <v>4278</v>
      </c>
      <c r="N230">
        <v>1543.68</v>
      </c>
    </row>
    <row r="231" spans="1:14" x14ac:dyDescent="0.35">
      <c r="A231" t="s">
        <v>243</v>
      </c>
      <c r="B231" t="s">
        <v>4494</v>
      </c>
      <c r="C231" t="s">
        <v>1443</v>
      </c>
      <c r="D231" s="3" t="s">
        <v>2405</v>
      </c>
      <c r="E231">
        <v>1</v>
      </c>
      <c r="F231">
        <v>562.61</v>
      </c>
      <c r="G231" t="s">
        <v>2607</v>
      </c>
      <c r="H231" s="3" t="s">
        <v>3067</v>
      </c>
      <c r="I231" s="3" t="s">
        <v>3073</v>
      </c>
      <c r="J231" t="s">
        <v>3304</v>
      </c>
      <c r="K231">
        <v>3</v>
      </c>
      <c r="L231" t="s">
        <v>4277</v>
      </c>
      <c r="M231" s="3" t="s">
        <v>4281</v>
      </c>
      <c r="N231">
        <v>562.61</v>
      </c>
    </row>
    <row r="232" spans="1:14" x14ac:dyDescent="0.35">
      <c r="A232" t="s">
        <v>244</v>
      </c>
      <c r="B232" t="s">
        <v>4495</v>
      </c>
      <c r="C232" t="s">
        <v>1444</v>
      </c>
      <c r="D232" s="3" t="s">
        <v>2409</v>
      </c>
      <c r="E232">
        <v>4</v>
      </c>
      <c r="F232">
        <v>61.91</v>
      </c>
      <c r="G232" t="s">
        <v>2608</v>
      </c>
      <c r="H232" s="3" t="s">
        <v>3068</v>
      </c>
      <c r="I232" s="3" t="s">
        <v>3073</v>
      </c>
      <c r="J232" t="s">
        <v>3305</v>
      </c>
      <c r="K232">
        <v>6</v>
      </c>
      <c r="L232" t="s">
        <v>4277</v>
      </c>
      <c r="M232" s="3" t="s">
        <v>4280</v>
      </c>
      <c r="N232">
        <v>247.64</v>
      </c>
    </row>
    <row r="233" spans="1:14" x14ac:dyDescent="0.35">
      <c r="A233" t="s">
        <v>245</v>
      </c>
      <c r="B233" t="s">
        <v>4496</v>
      </c>
      <c r="C233" t="s">
        <v>1445</v>
      </c>
      <c r="D233" s="3" t="s">
        <v>2404</v>
      </c>
      <c r="E233">
        <v>4</v>
      </c>
      <c r="F233">
        <v>41.9</v>
      </c>
      <c r="G233" t="s">
        <v>2609</v>
      </c>
      <c r="H233" s="3" t="s">
        <v>3068</v>
      </c>
      <c r="I233" s="3" t="s">
        <v>3074</v>
      </c>
      <c r="J233" t="s">
        <v>3306</v>
      </c>
      <c r="K233">
        <v>9</v>
      </c>
      <c r="L233" t="s">
        <v>4276</v>
      </c>
      <c r="M233" s="3" t="s">
        <v>4278</v>
      </c>
      <c r="N233">
        <v>167.6</v>
      </c>
    </row>
    <row r="234" spans="1:14" x14ac:dyDescent="0.35">
      <c r="A234" t="s">
        <v>246</v>
      </c>
      <c r="B234" t="s">
        <v>4497</v>
      </c>
      <c r="C234" t="s">
        <v>1446</v>
      </c>
      <c r="D234" s="3" t="s">
        <v>2407</v>
      </c>
      <c r="E234">
        <v>4</v>
      </c>
      <c r="F234">
        <v>444.44</v>
      </c>
      <c r="G234" t="s">
        <v>2610</v>
      </c>
      <c r="H234" s="3" t="s">
        <v>3065</v>
      </c>
      <c r="I234" s="3" t="s">
        <v>3071</v>
      </c>
      <c r="J234" t="s">
        <v>3307</v>
      </c>
      <c r="K234">
        <v>8</v>
      </c>
      <c r="L234" t="s">
        <v>4277</v>
      </c>
      <c r="M234" s="3" t="s">
        <v>4282</v>
      </c>
      <c r="N234">
        <v>1777.76</v>
      </c>
    </row>
    <row r="235" spans="1:14" x14ac:dyDescent="0.35">
      <c r="A235" t="s">
        <v>247</v>
      </c>
      <c r="B235" t="s">
        <v>4498</v>
      </c>
      <c r="C235" t="s">
        <v>1447</v>
      </c>
      <c r="D235" s="3" t="s">
        <v>2404</v>
      </c>
      <c r="E235">
        <v>3</v>
      </c>
      <c r="F235">
        <v>311.33</v>
      </c>
      <c r="G235" t="s">
        <v>2482</v>
      </c>
      <c r="H235" s="3" t="s">
        <v>3069</v>
      </c>
      <c r="I235" s="3" t="s">
        <v>3071</v>
      </c>
      <c r="J235" t="s">
        <v>3308</v>
      </c>
      <c r="K235">
        <v>3</v>
      </c>
      <c r="L235" t="s">
        <v>4277</v>
      </c>
      <c r="M235" s="3" t="s">
        <v>4278</v>
      </c>
      <c r="N235">
        <v>933.99</v>
      </c>
    </row>
    <row r="236" spans="1:14" x14ac:dyDescent="0.35">
      <c r="A236" t="s">
        <v>248</v>
      </c>
      <c r="B236" t="s">
        <v>4414</v>
      </c>
      <c r="C236" t="s">
        <v>1448</v>
      </c>
      <c r="D236" s="3" t="s">
        <v>2407</v>
      </c>
      <c r="E236">
        <v>4</v>
      </c>
      <c r="F236">
        <v>236.41</v>
      </c>
      <c r="G236" t="s">
        <v>2611</v>
      </c>
      <c r="H236" s="3" t="s">
        <v>3065</v>
      </c>
      <c r="I236" s="3" t="s">
        <v>3074</v>
      </c>
      <c r="J236" t="s">
        <v>3309</v>
      </c>
      <c r="K236">
        <v>7</v>
      </c>
      <c r="L236" t="s">
        <v>4275</v>
      </c>
      <c r="M236" s="3" t="s">
        <v>4282</v>
      </c>
      <c r="N236">
        <v>945.64</v>
      </c>
    </row>
    <row r="237" spans="1:14" x14ac:dyDescent="0.35">
      <c r="A237" t="s">
        <v>249</v>
      </c>
      <c r="B237" t="s">
        <v>4499</v>
      </c>
      <c r="C237" t="s">
        <v>1449</v>
      </c>
      <c r="D237" s="3" t="s">
        <v>2409</v>
      </c>
      <c r="E237">
        <v>1</v>
      </c>
      <c r="F237">
        <v>65.45</v>
      </c>
      <c r="G237" t="s">
        <v>2612</v>
      </c>
      <c r="H237" s="3" t="s">
        <v>3069</v>
      </c>
      <c r="I237" s="3" t="s">
        <v>3074</v>
      </c>
      <c r="J237" t="s">
        <v>3310</v>
      </c>
      <c r="K237">
        <v>2</v>
      </c>
      <c r="L237" t="s">
        <v>4277</v>
      </c>
      <c r="M237" s="3" t="s">
        <v>4282</v>
      </c>
      <c r="N237">
        <v>65.45</v>
      </c>
    </row>
    <row r="238" spans="1:14" x14ac:dyDescent="0.35">
      <c r="A238" t="s">
        <v>250</v>
      </c>
      <c r="B238" t="s">
        <v>4391</v>
      </c>
      <c r="C238" t="s">
        <v>1450</v>
      </c>
      <c r="D238" s="3" t="s">
        <v>2403</v>
      </c>
      <c r="E238">
        <v>1</v>
      </c>
      <c r="F238">
        <v>318.81</v>
      </c>
      <c r="G238" t="s">
        <v>2613</v>
      </c>
      <c r="H238" s="3" t="s">
        <v>3065</v>
      </c>
      <c r="I238" s="3" t="s">
        <v>3074</v>
      </c>
      <c r="J238" t="s">
        <v>3311</v>
      </c>
      <c r="K238">
        <v>3</v>
      </c>
      <c r="L238" t="s">
        <v>4277</v>
      </c>
      <c r="M238" s="3" t="s">
        <v>4280</v>
      </c>
      <c r="N238">
        <v>318.81</v>
      </c>
    </row>
    <row r="239" spans="1:14" x14ac:dyDescent="0.35">
      <c r="A239" t="s">
        <v>251</v>
      </c>
      <c r="B239" t="s">
        <v>4500</v>
      </c>
      <c r="C239" t="s">
        <v>1451</v>
      </c>
      <c r="D239" s="3" t="s">
        <v>2403</v>
      </c>
      <c r="E239">
        <v>3</v>
      </c>
      <c r="F239">
        <v>583.72</v>
      </c>
      <c r="G239" t="s">
        <v>2614</v>
      </c>
      <c r="H239" s="3" t="s">
        <v>3067</v>
      </c>
      <c r="I239" s="3" t="s">
        <v>3070</v>
      </c>
      <c r="J239" t="s">
        <v>3312</v>
      </c>
      <c r="K239">
        <v>5</v>
      </c>
      <c r="L239" t="s">
        <v>4276</v>
      </c>
      <c r="M239" s="3" t="s">
        <v>4281</v>
      </c>
      <c r="N239">
        <v>1751.16</v>
      </c>
    </row>
    <row r="240" spans="1:14" x14ac:dyDescent="0.35">
      <c r="A240" t="s">
        <v>252</v>
      </c>
      <c r="B240" t="s">
        <v>4501</v>
      </c>
      <c r="C240" t="s">
        <v>1452</v>
      </c>
      <c r="D240" s="3" t="s">
        <v>2409</v>
      </c>
      <c r="E240">
        <v>4</v>
      </c>
      <c r="F240">
        <v>384.32</v>
      </c>
      <c r="G240" t="s">
        <v>2615</v>
      </c>
      <c r="H240" s="3" t="s">
        <v>3067</v>
      </c>
      <c r="I240" s="3" t="s">
        <v>3074</v>
      </c>
      <c r="J240" t="s">
        <v>3313</v>
      </c>
      <c r="K240">
        <v>6</v>
      </c>
      <c r="L240" t="s">
        <v>4277</v>
      </c>
      <c r="M240" s="3" t="s">
        <v>4282</v>
      </c>
      <c r="N240">
        <v>1537.28</v>
      </c>
    </row>
    <row r="241" spans="1:14" x14ac:dyDescent="0.35">
      <c r="A241" t="s">
        <v>253</v>
      </c>
      <c r="B241" t="s">
        <v>4502</v>
      </c>
      <c r="C241" t="s">
        <v>1453</v>
      </c>
      <c r="D241" s="3" t="s">
        <v>2405</v>
      </c>
      <c r="E241">
        <v>3</v>
      </c>
      <c r="F241">
        <v>538.74</v>
      </c>
      <c r="G241" t="s">
        <v>2616</v>
      </c>
      <c r="H241" s="3" t="s">
        <v>3066</v>
      </c>
      <c r="I241" s="3" t="s">
        <v>3070</v>
      </c>
      <c r="J241" t="s">
        <v>3314</v>
      </c>
      <c r="K241">
        <v>6</v>
      </c>
      <c r="L241" t="s">
        <v>4276</v>
      </c>
      <c r="M241" s="3" t="s">
        <v>4280</v>
      </c>
      <c r="N241">
        <v>1616.22</v>
      </c>
    </row>
    <row r="242" spans="1:14" x14ac:dyDescent="0.35">
      <c r="A242" t="s">
        <v>254</v>
      </c>
      <c r="B242" t="s">
        <v>4503</v>
      </c>
      <c r="C242" t="s">
        <v>1454</v>
      </c>
      <c r="D242" s="3" t="s">
        <v>2405</v>
      </c>
      <c r="E242">
        <v>1</v>
      </c>
      <c r="F242">
        <v>17.239999999999998</v>
      </c>
      <c r="G242" t="s">
        <v>2617</v>
      </c>
      <c r="H242" s="3" t="s">
        <v>3066</v>
      </c>
      <c r="I242" s="3" t="s">
        <v>3074</v>
      </c>
      <c r="J242" t="s">
        <v>3315</v>
      </c>
      <c r="K242">
        <v>2</v>
      </c>
      <c r="L242" t="s">
        <v>4276</v>
      </c>
      <c r="M242" s="3" t="s">
        <v>4278</v>
      </c>
      <c r="N242">
        <v>17.239999999999998</v>
      </c>
    </row>
    <row r="243" spans="1:14" x14ac:dyDescent="0.35">
      <c r="A243" t="s">
        <v>255</v>
      </c>
      <c r="B243" t="s">
        <v>4504</v>
      </c>
      <c r="C243" t="s">
        <v>1455</v>
      </c>
      <c r="D243" s="3" t="s">
        <v>2406</v>
      </c>
      <c r="E243">
        <v>5</v>
      </c>
      <c r="F243">
        <v>615.66999999999996</v>
      </c>
      <c r="G243" t="s">
        <v>2618</v>
      </c>
      <c r="H243" s="3" t="s">
        <v>3066</v>
      </c>
      <c r="I243" s="3" t="s">
        <v>3074</v>
      </c>
      <c r="J243" t="s">
        <v>3316</v>
      </c>
      <c r="K243">
        <v>6</v>
      </c>
      <c r="L243" t="s">
        <v>4275</v>
      </c>
      <c r="M243" s="3" t="s">
        <v>4280</v>
      </c>
      <c r="N243">
        <v>3078.35</v>
      </c>
    </row>
    <row r="244" spans="1:14" x14ac:dyDescent="0.35">
      <c r="A244" t="s">
        <v>256</v>
      </c>
      <c r="B244" t="s">
        <v>4505</v>
      </c>
      <c r="C244" t="s">
        <v>1456</v>
      </c>
      <c r="D244" s="3" t="s">
        <v>2407</v>
      </c>
      <c r="E244">
        <v>2</v>
      </c>
      <c r="F244">
        <v>219.1</v>
      </c>
      <c r="G244" t="s">
        <v>2619</v>
      </c>
      <c r="H244" s="3" t="s">
        <v>3066</v>
      </c>
      <c r="I244" s="3" t="s">
        <v>3074</v>
      </c>
      <c r="J244" t="s">
        <v>3317</v>
      </c>
      <c r="K244">
        <v>4</v>
      </c>
      <c r="L244" t="s">
        <v>4275</v>
      </c>
      <c r="M244" s="3" t="s">
        <v>4279</v>
      </c>
      <c r="N244">
        <v>438.2</v>
      </c>
    </row>
    <row r="245" spans="1:14" x14ac:dyDescent="0.35">
      <c r="A245" t="s">
        <v>257</v>
      </c>
      <c r="B245" t="s">
        <v>4506</v>
      </c>
      <c r="C245" t="s">
        <v>1457</v>
      </c>
      <c r="D245" s="3" t="s">
        <v>2406</v>
      </c>
      <c r="E245">
        <v>2</v>
      </c>
      <c r="F245">
        <v>144.66</v>
      </c>
      <c r="G245" t="s">
        <v>2620</v>
      </c>
      <c r="H245" s="3" t="s">
        <v>3066</v>
      </c>
      <c r="I245" s="3" t="s">
        <v>3071</v>
      </c>
      <c r="J245" t="s">
        <v>3318</v>
      </c>
      <c r="K245">
        <v>7</v>
      </c>
      <c r="L245" t="s">
        <v>4276</v>
      </c>
      <c r="M245" s="3" t="s">
        <v>4282</v>
      </c>
      <c r="N245">
        <v>289.32</v>
      </c>
    </row>
    <row r="246" spans="1:14" x14ac:dyDescent="0.35">
      <c r="A246" t="s">
        <v>258</v>
      </c>
      <c r="B246" t="s">
        <v>4507</v>
      </c>
      <c r="C246" t="s">
        <v>1458</v>
      </c>
      <c r="D246" s="3" t="s">
        <v>2409</v>
      </c>
      <c r="E246">
        <v>2</v>
      </c>
      <c r="F246">
        <v>317.77</v>
      </c>
      <c r="G246" t="s">
        <v>2621</v>
      </c>
      <c r="H246" s="3" t="s">
        <v>3065</v>
      </c>
      <c r="I246" s="3" t="s">
        <v>3071</v>
      </c>
      <c r="J246" t="s">
        <v>3319</v>
      </c>
      <c r="K246">
        <v>4</v>
      </c>
      <c r="L246" t="s">
        <v>4277</v>
      </c>
      <c r="M246" s="3" t="s">
        <v>4281</v>
      </c>
      <c r="N246">
        <v>635.54</v>
      </c>
    </row>
    <row r="247" spans="1:14" x14ac:dyDescent="0.35">
      <c r="A247" t="s">
        <v>259</v>
      </c>
      <c r="B247" t="s">
        <v>4508</v>
      </c>
      <c r="C247" t="s">
        <v>1459</v>
      </c>
      <c r="D247" s="3" t="s">
        <v>2408</v>
      </c>
      <c r="E247">
        <v>1</v>
      </c>
      <c r="F247">
        <v>223.3</v>
      </c>
      <c r="G247" t="s">
        <v>2622</v>
      </c>
      <c r="H247" s="3" t="s">
        <v>3066</v>
      </c>
      <c r="I247" s="3" t="s">
        <v>3072</v>
      </c>
      <c r="J247" t="s">
        <v>3320</v>
      </c>
      <c r="K247">
        <v>1</v>
      </c>
      <c r="L247" t="s">
        <v>4292</v>
      </c>
      <c r="M247" s="3" t="s">
        <v>4281</v>
      </c>
      <c r="N247">
        <v>223.3</v>
      </c>
    </row>
    <row r="248" spans="1:14" x14ac:dyDescent="0.35">
      <c r="A248" t="s">
        <v>260</v>
      </c>
      <c r="B248" t="s">
        <v>4509</v>
      </c>
      <c r="C248" t="s">
        <v>1460</v>
      </c>
      <c r="D248" s="3" t="s">
        <v>2409</v>
      </c>
      <c r="E248">
        <v>2</v>
      </c>
      <c r="F248">
        <v>342.11</v>
      </c>
      <c r="G248" t="s">
        <v>2623</v>
      </c>
      <c r="H248" s="3" t="s">
        <v>3068</v>
      </c>
      <c r="I248" s="3" t="s">
        <v>3070</v>
      </c>
      <c r="J248" t="s">
        <v>3321</v>
      </c>
      <c r="K248">
        <v>2</v>
      </c>
      <c r="L248" t="s">
        <v>4277</v>
      </c>
      <c r="M248" s="3" t="s">
        <v>4278</v>
      </c>
      <c r="N248">
        <v>684.22</v>
      </c>
    </row>
    <row r="249" spans="1:14" x14ac:dyDescent="0.35">
      <c r="A249" t="s">
        <v>261</v>
      </c>
      <c r="B249" t="s">
        <v>4429</v>
      </c>
      <c r="C249" t="s">
        <v>1461</v>
      </c>
      <c r="D249" s="3" t="s">
        <v>2407</v>
      </c>
      <c r="E249">
        <v>2</v>
      </c>
      <c r="F249">
        <v>220.9</v>
      </c>
      <c r="G249" t="s">
        <v>2624</v>
      </c>
      <c r="H249" s="3" t="s">
        <v>3068</v>
      </c>
      <c r="I249" s="3" t="s">
        <v>3070</v>
      </c>
      <c r="J249" t="s">
        <v>3322</v>
      </c>
      <c r="K249">
        <v>4</v>
      </c>
      <c r="L249" t="s">
        <v>4292</v>
      </c>
      <c r="M249" s="3" t="s">
        <v>4280</v>
      </c>
      <c r="N249">
        <v>441.8</v>
      </c>
    </row>
    <row r="250" spans="1:14" x14ac:dyDescent="0.35">
      <c r="A250" t="s">
        <v>262</v>
      </c>
      <c r="B250" t="s">
        <v>4510</v>
      </c>
      <c r="C250" t="s">
        <v>1462</v>
      </c>
      <c r="D250" s="3" t="s">
        <v>2408</v>
      </c>
      <c r="E250">
        <v>1</v>
      </c>
      <c r="F250">
        <v>670.54</v>
      </c>
      <c r="G250" t="s">
        <v>2625</v>
      </c>
      <c r="H250" s="3" t="s">
        <v>3069</v>
      </c>
      <c r="I250" s="3" t="s">
        <v>3070</v>
      </c>
      <c r="J250" t="s">
        <v>3323</v>
      </c>
      <c r="K250">
        <v>6</v>
      </c>
      <c r="L250" t="s">
        <v>4276</v>
      </c>
      <c r="M250" s="3" t="s">
        <v>4279</v>
      </c>
      <c r="N250">
        <v>670.54</v>
      </c>
    </row>
    <row r="251" spans="1:14" x14ac:dyDescent="0.35">
      <c r="A251" t="s">
        <v>263</v>
      </c>
      <c r="B251" t="s">
        <v>4511</v>
      </c>
      <c r="C251" t="s">
        <v>1463</v>
      </c>
      <c r="D251" s="3" t="s">
        <v>2407</v>
      </c>
      <c r="E251">
        <v>1</v>
      </c>
      <c r="F251">
        <v>546.19000000000005</v>
      </c>
      <c r="G251" t="s">
        <v>2626</v>
      </c>
      <c r="H251" s="3" t="s">
        <v>3069</v>
      </c>
      <c r="I251" s="3" t="s">
        <v>3074</v>
      </c>
      <c r="J251" t="s">
        <v>3324</v>
      </c>
      <c r="K251">
        <v>5</v>
      </c>
      <c r="L251" t="s">
        <v>4276</v>
      </c>
      <c r="M251" s="3" t="s">
        <v>4279</v>
      </c>
      <c r="N251">
        <v>546.19000000000005</v>
      </c>
    </row>
    <row r="252" spans="1:14" x14ac:dyDescent="0.35">
      <c r="A252" t="s">
        <v>264</v>
      </c>
      <c r="B252" t="s">
        <v>4512</v>
      </c>
      <c r="C252" t="s">
        <v>1464</v>
      </c>
      <c r="D252" s="3" t="s">
        <v>2409</v>
      </c>
      <c r="E252">
        <v>3</v>
      </c>
      <c r="F252">
        <v>42.95</v>
      </c>
      <c r="G252" t="s">
        <v>2492</v>
      </c>
      <c r="H252" s="3" t="s">
        <v>3068</v>
      </c>
      <c r="I252" s="3" t="s">
        <v>3072</v>
      </c>
      <c r="J252" t="s">
        <v>3325</v>
      </c>
      <c r="K252">
        <v>8</v>
      </c>
      <c r="L252" t="s">
        <v>4275</v>
      </c>
      <c r="M252" s="3" t="s">
        <v>4280</v>
      </c>
      <c r="N252">
        <v>128.85</v>
      </c>
    </row>
    <row r="253" spans="1:14" x14ac:dyDescent="0.35">
      <c r="A253" t="s">
        <v>265</v>
      </c>
      <c r="B253" t="s">
        <v>4513</v>
      </c>
      <c r="C253" t="s">
        <v>1465</v>
      </c>
      <c r="D253" s="3" t="s">
        <v>2403</v>
      </c>
      <c r="E253">
        <v>4</v>
      </c>
      <c r="F253">
        <v>14.69</v>
      </c>
      <c r="G253" t="s">
        <v>2627</v>
      </c>
      <c r="H253" s="3" t="s">
        <v>3069</v>
      </c>
      <c r="I253" s="3" t="s">
        <v>3071</v>
      </c>
      <c r="J253" t="s">
        <v>3326</v>
      </c>
      <c r="K253">
        <v>9</v>
      </c>
      <c r="L253" t="s">
        <v>4292</v>
      </c>
      <c r="M253" s="3" t="s">
        <v>4280</v>
      </c>
      <c r="N253">
        <v>58.76</v>
      </c>
    </row>
    <row r="254" spans="1:14" x14ac:dyDescent="0.35">
      <c r="A254" t="s">
        <v>266</v>
      </c>
      <c r="B254" t="s">
        <v>4312</v>
      </c>
      <c r="C254" t="s">
        <v>1466</v>
      </c>
      <c r="D254" s="3" t="s">
        <v>2404</v>
      </c>
      <c r="E254">
        <v>4</v>
      </c>
      <c r="F254">
        <v>668.36</v>
      </c>
      <c r="G254" t="s">
        <v>2628</v>
      </c>
      <c r="H254" s="3" t="s">
        <v>3068</v>
      </c>
      <c r="I254" s="3" t="s">
        <v>3071</v>
      </c>
      <c r="J254" t="s">
        <v>3327</v>
      </c>
      <c r="K254">
        <v>5</v>
      </c>
      <c r="L254" t="s">
        <v>4276</v>
      </c>
      <c r="M254" s="3" t="s">
        <v>4281</v>
      </c>
      <c r="N254">
        <v>2673.44</v>
      </c>
    </row>
    <row r="255" spans="1:14" x14ac:dyDescent="0.35">
      <c r="A255" t="s">
        <v>267</v>
      </c>
      <c r="B255" t="s">
        <v>4514</v>
      </c>
      <c r="C255" t="s">
        <v>1467</v>
      </c>
      <c r="D255" s="3" t="s">
        <v>2406</v>
      </c>
      <c r="E255">
        <v>4</v>
      </c>
      <c r="F255">
        <v>413.74</v>
      </c>
      <c r="G255" t="s">
        <v>2503</v>
      </c>
      <c r="H255" s="3" t="s">
        <v>3068</v>
      </c>
      <c r="I255" s="3" t="s">
        <v>3072</v>
      </c>
      <c r="J255" t="s">
        <v>3328</v>
      </c>
      <c r="K255">
        <v>7</v>
      </c>
      <c r="L255" t="s">
        <v>4276</v>
      </c>
      <c r="M255" s="3" t="s">
        <v>4278</v>
      </c>
      <c r="N255">
        <v>1654.96</v>
      </c>
    </row>
    <row r="256" spans="1:14" x14ac:dyDescent="0.35">
      <c r="A256" t="s">
        <v>268</v>
      </c>
      <c r="B256" t="s">
        <v>4515</v>
      </c>
      <c r="C256" t="s">
        <v>1468</v>
      </c>
      <c r="D256" s="3" t="s">
        <v>2403</v>
      </c>
      <c r="E256">
        <v>3</v>
      </c>
      <c r="F256">
        <v>263.19</v>
      </c>
      <c r="G256" t="s">
        <v>2615</v>
      </c>
      <c r="H256" s="3" t="s">
        <v>3066</v>
      </c>
      <c r="I256" s="3" t="s">
        <v>3073</v>
      </c>
      <c r="J256" t="s">
        <v>3329</v>
      </c>
      <c r="K256">
        <v>5</v>
      </c>
      <c r="L256" t="s">
        <v>4292</v>
      </c>
      <c r="M256" s="3" t="s">
        <v>4278</v>
      </c>
      <c r="N256">
        <v>789.57</v>
      </c>
    </row>
    <row r="257" spans="1:14" x14ac:dyDescent="0.35">
      <c r="A257" t="s">
        <v>269</v>
      </c>
      <c r="B257" t="s">
        <v>4516</v>
      </c>
      <c r="C257" t="s">
        <v>1469</v>
      </c>
      <c r="D257" s="3" t="s">
        <v>2403</v>
      </c>
      <c r="E257">
        <v>1</v>
      </c>
      <c r="F257">
        <v>263.95999999999998</v>
      </c>
      <c r="G257" t="s">
        <v>2565</v>
      </c>
      <c r="H257" s="3" t="s">
        <v>3068</v>
      </c>
      <c r="I257" s="3" t="s">
        <v>3072</v>
      </c>
      <c r="J257" t="s">
        <v>3330</v>
      </c>
      <c r="K257">
        <v>2</v>
      </c>
      <c r="L257" t="s">
        <v>4275</v>
      </c>
      <c r="M257" s="3" t="s">
        <v>4282</v>
      </c>
      <c r="N257">
        <v>263.95999999999998</v>
      </c>
    </row>
    <row r="258" spans="1:14" x14ac:dyDescent="0.35">
      <c r="A258" t="s">
        <v>270</v>
      </c>
      <c r="B258" t="s">
        <v>4517</v>
      </c>
      <c r="C258" t="s">
        <v>1470</v>
      </c>
      <c r="D258" s="3" t="s">
        <v>2406</v>
      </c>
      <c r="E258">
        <v>5</v>
      </c>
      <c r="F258">
        <v>75.81</v>
      </c>
      <c r="G258" t="s">
        <v>2629</v>
      </c>
      <c r="H258" s="3" t="s">
        <v>3068</v>
      </c>
      <c r="I258" s="3" t="s">
        <v>3072</v>
      </c>
      <c r="J258" t="s">
        <v>3331</v>
      </c>
      <c r="K258">
        <v>10</v>
      </c>
      <c r="L258" t="s">
        <v>4277</v>
      </c>
      <c r="M258" s="3" t="s">
        <v>4278</v>
      </c>
      <c r="N258">
        <v>379.05</v>
      </c>
    </row>
    <row r="259" spans="1:14" x14ac:dyDescent="0.35">
      <c r="A259" t="s">
        <v>271</v>
      </c>
      <c r="B259" t="s">
        <v>4518</v>
      </c>
      <c r="C259" t="s">
        <v>1471</v>
      </c>
      <c r="D259" s="3" t="s">
        <v>2404</v>
      </c>
      <c r="E259">
        <v>1</v>
      </c>
      <c r="F259">
        <v>406.22</v>
      </c>
      <c r="G259" t="s">
        <v>2630</v>
      </c>
      <c r="H259" s="3" t="s">
        <v>3067</v>
      </c>
      <c r="I259" s="3" t="s">
        <v>3071</v>
      </c>
      <c r="J259" t="s">
        <v>3332</v>
      </c>
      <c r="K259">
        <v>5</v>
      </c>
      <c r="L259" t="s">
        <v>4275</v>
      </c>
      <c r="M259" s="3" t="s">
        <v>4279</v>
      </c>
      <c r="N259">
        <v>406.22</v>
      </c>
    </row>
    <row r="260" spans="1:14" x14ac:dyDescent="0.35">
      <c r="A260" t="s">
        <v>272</v>
      </c>
      <c r="B260" t="s">
        <v>4519</v>
      </c>
      <c r="C260" t="s">
        <v>1472</v>
      </c>
      <c r="D260" s="3" t="s">
        <v>2405</v>
      </c>
      <c r="E260">
        <v>2</v>
      </c>
      <c r="F260">
        <v>103.41</v>
      </c>
      <c r="G260" t="s">
        <v>2631</v>
      </c>
      <c r="H260" s="3" t="s">
        <v>3066</v>
      </c>
      <c r="I260" s="3" t="s">
        <v>3070</v>
      </c>
      <c r="J260" t="s">
        <v>3333</v>
      </c>
      <c r="K260">
        <v>2</v>
      </c>
      <c r="L260" t="s">
        <v>4276</v>
      </c>
      <c r="M260" s="3" t="s">
        <v>4279</v>
      </c>
      <c r="N260">
        <v>206.82</v>
      </c>
    </row>
    <row r="261" spans="1:14" x14ac:dyDescent="0.35">
      <c r="A261" t="s">
        <v>273</v>
      </c>
      <c r="B261" t="s">
        <v>4520</v>
      </c>
      <c r="C261" t="s">
        <v>1473</v>
      </c>
      <c r="D261" s="3" t="s">
        <v>2406</v>
      </c>
      <c r="E261">
        <v>4</v>
      </c>
      <c r="F261">
        <v>435.12</v>
      </c>
      <c r="G261" t="s">
        <v>2535</v>
      </c>
      <c r="H261" s="3" t="s">
        <v>3067</v>
      </c>
      <c r="I261" s="3" t="s">
        <v>3073</v>
      </c>
      <c r="J261" t="s">
        <v>3334</v>
      </c>
      <c r="K261">
        <v>9</v>
      </c>
      <c r="L261" t="s">
        <v>4275</v>
      </c>
      <c r="M261" s="3" t="s">
        <v>4278</v>
      </c>
      <c r="N261">
        <v>1740.48</v>
      </c>
    </row>
    <row r="262" spans="1:14" x14ac:dyDescent="0.35">
      <c r="A262" t="s">
        <v>274</v>
      </c>
      <c r="B262" t="s">
        <v>4493</v>
      </c>
      <c r="C262" t="s">
        <v>1474</v>
      </c>
      <c r="D262" s="3" t="s">
        <v>2403</v>
      </c>
      <c r="E262">
        <v>2</v>
      </c>
      <c r="F262">
        <v>407.79</v>
      </c>
      <c r="G262" t="s">
        <v>2632</v>
      </c>
      <c r="H262" s="3" t="s">
        <v>3065</v>
      </c>
      <c r="I262" s="3" t="s">
        <v>3070</v>
      </c>
      <c r="J262" t="s">
        <v>3335</v>
      </c>
      <c r="K262">
        <v>3</v>
      </c>
      <c r="L262" t="s">
        <v>4292</v>
      </c>
      <c r="M262" s="3" t="s">
        <v>4282</v>
      </c>
      <c r="N262">
        <v>815.58</v>
      </c>
    </row>
    <row r="263" spans="1:14" x14ac:dyDescent="0.35">
      <c r="A263" t="s">
        <v>275</v>
      </c>
      <c r="B263" t="s">
        <v>4521</v>
      </c>
      <c r="C263" t="s">
        <v>1475</v>
      </c>
      <c r="D263" s="3" t="s">
        <v>2404</v>
      </c>
      <c r="E263">
        <v>5</v>
      </c>
      <c r="F263">
        <v>173.65</v>
      </c>
      <c r="G263" t="s">
        <v>2633</v>
      </c>
      <c r="H263" s="3" t="s">
        <v>3068</v>
      </c>
      <c r="I263" s="3" t="s">
        <v>3073</v>
      </c>
      <c r="J263" t="s">
        <v>3336</v>
      </c>
      <c r="K263">
        <v>9</v>
      </c>
      <c r="L263" t="s">
        <v>4275</v>
      </c>
      <c r="M263" s="3" t="s">
        <v>4280</v>
      </c>
      <c r="N263">
        <v>868.25</v>
      </c>
    </row>
    <row r="264" spans="1:14" x14ac:dyDescent="0.35">
      <c r="A264" t="s">
        <v>276</v>
      </c>
      <c r="B264" t="s">
        <v>4522</v>
      </c>
      <c r="C264" t="s">
        <v>1476</v>
      </c>
      <c r="D264" s="3" t="s">
        <v>2404</v>
      </c>
      <c r="E264">
        <v>4</v>
      </c>
      <c r="F264">
        <v>249.07</v>
      </c>
      <c r="G264" t="s">
        <v>2536</v>
      </c>
      <c r="H264" s="3" t="s">
        <v>3067</v>
      </c>
      <c r="I264" s="3" t="s">
        <v>3072</v>
      </c>
      <c r="J264" t="s">
        <v>3337</v>
      </c>
      <c r="K264">
        <v>5</v>
      </c>
      <c r="L264" t="s">
        <v>4277</v>
      </c>
      <c r="M264" s="3" t="s">
        <v>4279</v>
      </c>
      <c r="N264">
        <v>996.28</v>
      </c>
    </row>
    <row r="265" spans="1:14" x14ac:dyDescent="0.35">
      <c r="A265" t="s">
        <v>277</v>
      </c>
      <c r="B265" t="s">
        <v>4523</v>
      </c>
      <c r="C265" t="s">
        <v>1477</v>
      </c>
      <c r="D265" s="3" t="s">
        <v>2404</v>
      </c>
      <c r="E265">
        <v>4</v>
      </c>
      <c r="F265">
        <v>434.85</v>
      </c>
      <c r="G265" t="s">
        <v>2634</v>
      </c>
      <c r="H265" s="3" t="s">
        <v>3067</v>
      </c>
      <c r="I265" s="3" t="s">
        <v>3074</v>
      </c>
      <c r="J265" t="s">
        <v>3338</v>
      </c>
      <c r="K265">
        <v>4</v>
      </c>
      <c r="L265" t="s">
        <v>4277</v>
      </c>
      <c r="M265" s="3" t="s">
        <v>4282</v>
      </c>
      <c r="N265">
        <v>1739.4</v>
      </c>
    </row>
    <row r="266" spans="1:14" x14ac:dyDescent="0.35">
      <c r="A266" t="s">
        <v>278</v>
      </c>
      <c r="B266" t="s">
        <v>4524</v>
      </c>
      <c r="C266" t="s">
        <v>1478</v>
      </c>
      <c r="D266" s="3" t="s">
        <v>2405</v>
      </c>
      <c r="E266">
        <v>1</v>
      </c>
      <c r="F266">
        <v>436.77</v>
      </c>
      <c r="G266" t="s">
        <v>2635</v>
      </c>
      <c r="H266" s="3" t="s">
        <v>3069</v>
      </c>
      <c r="I266" s="3" t="s">
        <v>3072</v>
      </c>
      <c r="J266" t="s">
        <v>3339</v>
      </c>
      <c r="K266">
        <v>5</v>
      </c>
      <c r="L266" t="s">
        <v>4276</v>
      </c>
      <c r="M266" s="3" t="s">
        <v>4282</v>
      </c>
      <c r="N266">
        <v>436.77</v>
      </c>
    </row>
    <row r="267" spans="1:14" x14ac:dyDescent="0.35">
      <c r="A267" t="s">
        <v>279</v>
      </c>
      <c r="B267" t="s">
        <v>4525</v>
      </c>
      <c r="C267" t="s">
        <v>1479</v>
      </c>
      <c r="D267" s="3" t="s">
        <v>2407</v>
      </c>
      <c r="E267">
        <v>1</v>
      </c>
      <c r="F267">
        <v>572.13</v>
      </c>
      <c r="G267" t="s">
        <v>2636</v>
      </c>
      <c r="H267" s="3" t="s">
        <v>3065</v>
      </c>
      <c r="I267" s="3" t="s">
        <v>3071</v>
      </c>
      <c r="J267" t="s">
        <v>3340</v>
      </c>
      <c r="K267">
        <v>4</v>
      </c>
      <c r="L267" t="s">
        <v>4275</v>
      </c>
      <c r="M267" s="3" t="s">
        <v>4282</v>
      </c>
      <c r="N267">
        <v>572.13</v>
      </c>
    </row>
    <row r="268" spans="1:14" x14ac:dyDescent="0.35">
      <c r="A268" t="s">
        <v>280</v>
      </c>
      <c r="B268" t="s">
        <v>4464</v>
      </c>
      <c r="C268" t="s">
        <v>1480</v>
      </c>
      <c r="D268" s="3" t="s">
        <v>2406</v>
      </c>
      <c r="E268">
        <v>4</v>
      </c>
      <c r="F268">
        <v>583.07000000000005</v>
      </c>
      <c r="G268" t="s">
        <v>2637</v>
      </c>
      <c r="H268" s="3" t="s">
        <v>3067</v>
      </c>
      <c r="I268" s="3" t="s">
        <v>3071</v>
      </c>
      <c r="J268" t="s">
        <v>3341</v>
      </c>
      <c r="K268">
        <v>6</v>
      </c>
      <c r="L268" t="s">
        <v>4276</v>
      </c>
      <c r="M268" s="3" t="s">
        <v>4279</v>
      </c>
      <c r="N268">
        <v>2332.2800000000002</v>
      </c>
    </row>
    <row r="269" spans="1:14" x14ac:dyDescent="0.35">
      <c r="A269" t="s">
        <v>281</v>
      </c>
      <c r="B269" t="s">
        <v>4526</v>
      </c>
      <c r="C269" t="s">
        <v>1481</v>
      </c>
      <c r="D269" s="3" t="s">
        <v>2406</v>
      </c>
      <c r="E269">
        <v>5</v>
      </c>
      <c r="F269">
        <v>468.51</v>
      </c>
      <c r="G269" t="s">
        <v>2638</v>
      </c>
      <c r="H269" s="3" t="s">
        <v>3065</v>
      </c>
      <c r="I269" s="3" t="s">
        <v>3073</v>
      </c>
      <c r="J269" t="s">
        <v>3342</v>
      </c>
      <c r="K269">
        <v>9</v>
      </c>
      <c r="L269" t="s">
        <v>4292</v>
      </c>
      <c r="M269" s="3" t="s">
        <v>4281</v>
      </c>
      <c r="N269">
        <v>2342.5500000000002</v>
      </c>
    </row>
    <row r="270" spans="1:14" x14ac:dyDescent="0.35">
      <c r="A270" t="s">
        <v>282</v>
      </c>
      <c r="B270" t="s">
        <v>4462</v>
      </c>
      <c r="C270" t="s">
        <v>1482</v>
      </c>
      <c r="D270" s="3" t="s">
        <v>2404</v>
      </c>
      <c r="E270">
        <v>2</v>
      </c>
      <c r="F270">
        <v>423.88</v>
      </c>
      <c r="G270" t="s">
        <v>2639</v>
      </c>
      <c r="H270" s="3" t="s">
        <v>3065</v>
      </c>
      <c r="I270" s="3" t="s">
        <v>3073</v>
      </c>
      <c r="J270" t="s">
        <v>3343</v>
      </c>
      <c r="K270">
        <v>7</v>
      </c>
      <c r="L270" t="s">
        <v>4275</v>
      </c>
      <c r="M270" s="3" t="s">
        <v>4279</v>
      </c>
      <c r="N270">
        <v>847.76</v>
      </c>
    </row>
    <row r="271" spans="1:14" x14ac:dyDescent="0.35">
      <c r="A271" t="s">
        <v>283</v>
      </c>
      <c r="B271" t="s">
        <v>4381</v>
      </c>
      <c r="C271" t="s">
        <v>1483</v>
      </c>
      <c r="D271" s="3" t="s">
        <v>2405</v>
      </c>
      <c r="E271">
        <v>4</v>
      </c>
      <c r="F271">
        <v>663.67</v>
      </c>
      <c r="G271" t="s">
        <v>2477</v>
      </c>
      <c r="H271" s="3" t="s">
        <v>3067</v>
      </c>
      <c r="I271" s="3" t="s">
        <v>3074</v>
      </c>
      <c r="J271" t="s">
        <v>3344</v>
      </c>
      <c r="K271">
        <v>7</v>
      </c>
      <c r="L271" t="s">
        <v>4276</v>
      </c>
      <c r="M271" s="3" t="s">
        <v>4282</v>
      </c>
      <c r="N271">
        <v>2654.68</v>
      </c>
    </row>
    <row r="272" spans="1:14" x14ac:dyDescent="0.35">
      <c r="A272" t="s">
        <v>284</v>
      </c>
      <c r="B272" t="s">
        <v>4527</v>
      </c>
      <c r="C272" t="s">
        <v>1484</v>
      </c>
      <c r="D272" s="3" t="s">
        <v>2407</v>
      </c>
      <c r="E272">
        <v>4</v>
      </c>
      <c r="F272">
        <v>309.91000000000003</v>
      </c>
      <c r="G272" t="s">
        <v>2640</v>
      </c>
      <c r="H272" s="3" t="s">
        <v>3065</v>
      </c>
      <c r="I272" s="3" t="s">
        <v>3070</v>
      </c>
      <c r="J272" t="s">
        <v>3345</v>
      </c>
      <c r="K272">
        <v>5</v>
      </c>
      <c r="L272" t="s">
        <v>4277</v>
      </c>
      <c r="M272" s="3" t="s">
        <v>4282</v>
      </c>
      <c r="N272">
        <v>1239.6400000000001</v>
      </c>
    </row>
    <row r="273" spans="1:14" x14ac:dyDescent="0.35">
      <c r="A273" t="s">
        <v>285</v>
      </c>
      <c r="B273" t="s">
        <v>4409</v>
      </c>
      <c r="C273" t="s">
        <v>1485</v>
      </c>
      <c r="D273" s="3" t="s">
        <v>2403</v>
      </c>
      <c r="E273">
        <v>1</v>
      </c>
      <c r="F273">
        <v>542.07000000000005</v>
      </c>
      <c r="G273" t="s">
        <v>2641</v>
      </c>
      <c r="H273" s="3" t="s">
        <v>3069</v>
      </c>
      <c r="I273" s="3" t="s">
        <v>3070</v>
      </c>
      <c r="J273" t="s">
        <v>3346</v>
      </c>
      <c r="K273">
        <v>6</v>
      </c>
      <c r="L273" t="s">
        <v>4277</v>
      </c>
      <c r="M273" s="3" t="s">
        <v>4279</v>
      </c>
      <c r="N273">
        <v>542.07000000000005</v>
      </c>
    </row>
    <row r="274" spans="1:14" x14ac:dyDescent="0.35">
      <c r="A274" t="s">
        <v>286</v>
      </c>
      <c r="B274" t="s">
        <v>4528</v>
      </c>
      <c r="C274" t="s">
        <v>1486</v>
      </c>
      <c r="D274" s="3" t="s">
        <v>2406</v>
      </c>
      <c r="E274">
        <v>2</v>
      </c>
      <c r="F274">
        <v>399.32</v>
      </c>
      <c r="G274" t="s">
        <v>2642</v>
      </c>
      <c r="H274" s="3" t="s">
        <v>3066</v>
      </c>
      <c r="I274" s="3" t="s">
        <v>3074</v>
      </c>
      <c r="J274" t="s">
        <v>3347</v>
      </c>
      <c r="K274">
        <v>6</v>
      </c>
      <c r="L274" t="s">
        <v>4277</v>
      </c>
      <c r="M274" s="3" t="s">
        <v>4278</v>
      </c>
      <c r="N274">
        <v>798.64</v>
      </c>
    </row>
    <row r="275" spans="1:14" x14ac:dyDescent="0.35">
      <c r="A275" t="s">
        <v>287</v>
      </c>
      <c r="B275" t="s">
        <v>4529</v>
      </c>
      <c r="C275" t="s">
        <v>1487</v>
      </c>
      <c r="D275" s="3" t="s">
        <v>2405</v>
      </c>
      <c r="E275">
        <v>2</v>
      </c>
      <c r="F275">
        <v>238.25</v>
      </c>
      <c r="G275" t="s">
        <v>2643</v>
      </c>
      <c r="H275" s="3" t="s">
        <v>3066</v>
      </c>
      <c r="I275" s="3" t="s">
        <v>3071</v>
      </c>
      <c r="J275" t="s">
        <v>3348</v>
      </c>
      <c r="K275">
        <v>7</v>
      </c>
      <c r="L275" t="s">
        <v>4276</v>
      </c>
      <c r="M275" s="3" t="s">
        <v>4280</v>
      </c>
      <c r="N275">
        <v>476.5</v>
      </c>
    </row>
    <row r="276" spans="1:14" x14ac:dyDescent="0.35">
      <c r="A276" t="s">
        <v>288</v>
      </c>
      <c r="B276" t="s">
        <v>4530</v>
      </c>
      <c r="C276" t="s">
        <v>1488</v>
      </c>
      <c r="D276" s="3" t="s">
        <v>2404</v>
      </c>
      <c r="E276">
        <v>2</v>
      </c>
      <c r="F276">
        <v>182.4</v>
      </c>
      <c r="G276" t="s">
        <v>2644</v>
      </c>
      <c r="H276" s="3" t="s">
        <v>3068</v>
      </c>
      <c r="I276" s="3" t="s">
        <v>3071</v>
      </c>
      <c r="J276" t="s">
        <v>3349</v>
      </c>
      <c r="K276">
        <v>5</v>
      </c>
      <c r="L276" t="s">
        <v>4275</v>
      </c>
      <c r="M276" s="3" t="s">
        <v>4279</v>
      </c>
      <c r="N276">
        <v>364.8</v>
      </c>
    </row>
    <row r="277" spans="1:14" x14ac:dyDescent="0.35">
      <c r="A277" t="s">
        <v>289</v>
      </c>
      <c r="B277" t="s">
        <v>4531</v>
      </c>
      <c r="C277" t="s">
        <v>1489</v>
      </c>
      <c r="D277" s="3" t="s">
        <v>2406</v>
      </c>
      <c r="E277">
        <v>2</v>
      </c>
      <c r="F277">
        <v>65.069999999999993</v>
      </c>
      <c r="G277" t="s">
        <v>2645</v>
      </c>
      <c r="H277" s="3" t="s">
        <v>3067</v>
      </c>
      <c r="I277" s="3" t="s">
        <v>3071</v>
      </c>
      <c r="J277" t="s">
        <v>3350</v>
      </c>
      <c r="K277">
        <v>4</v>
      </c>
      <c r="L277" t="s">
        <v>4275</v>
      </c>
      <c r="M277" s="3" t="s">
        <v>4282</v>
      </c>
      <c r="N277">
        <v>130.13999999999999</v>
      </c>
    </row>
    <row r="278" spans="1:14" x14ac:dyDescent="0.35">
      <c r="A278" t="s">
        <v>290</v>
      </c>
      <c r="B278" t="s">
        <v>4532</v>
      </c>
      <c r="C278" t="s">
        <v>1490</v>
      </c>
      <c r="D278" s="3" t="s">
        <v>2407</v>
      </c>
      <c r="E278">
        <v>2</v>
      </c>
      <c r="F278">
        <v>600.57000000000005</v>
      </c>
      <c r="G278" t="s">
        <v>2646</v>
      </c>
      <c r="H278" s="3" t="s">
        <v>3065</v>
      </c>
      <c r="I278" s="3" t="s">
        <v>3072</v>
      </c>
      <c r="J278" t="s">
        <v>3351</v>
      </c>
      <c r="K278">
        <v>3</v>
      </c>
      <c r="L278" t="s">
        <v>4277</v>
      </c>
      <c r="M278" s="3" t="s">
        <v>4278</v>
      </c>
      <c r="N278">
        <v>1201.1400000000001</v>
      </c>
    </row>
    <row r="279" spans="1:14" x14ac:dyDescent="0.35">
      <c r="A279" t="s">
        <v>291</v>
      </c>
      <c r="B279" t="s">
        <v>4366</v>
      </c>
      <c r="C279" t="s">
        <v>1491</v>
      </c>
      <c r="D279" s="3" t="s">
        <v>2406</v>
      </c>
      <c r="E279">
        <v>5</v>
      </c>
      <c r="F279">
        <v>90.92</v>
      </c>
      <c r="G279" t="s">
        <v>2647</v>
      </c>
      <c r="H279" s="3" t="s">
        <v>3067</v>
      </c>
      <c r="I279" s="3" t="s">
        <v>3073</v>
      </c>
      <c r="J279" t="s">
        <v>3352</v>
      </c>
      <c r="K279">
        <v>9</v>
      </c>
      <c r="L279" t="s">
        <v>4275</v>
      </c>
      <c r="M279" s="3" t="s">
        <v>4281</v>
      </c>
      <c r="N279">
        <v>454.6</v>
      </c>
    </row>
    <row r="280" spans="1:14" x14ac:dyDescent="0.35">
      <c r="A280" t="s">
        <v>292</v>
      </c>
      <c r="B280" t="s">
        <v>4533</v>
      </c>
      <c r="C280" t="s">
        <v>1492</v>
      </c>
      <c r="D280" s="3" t="s">
        <v>2408</v>
      </c>
      <c r="E280">
        <v>5</v>
      </c>
      <c r="F280">
        <v>362.46</v>
      </c>
      <c r="G280" t="s">
        <v>2648</v>
      </c>
      <c r="H280" s="3" t="s">
        <v>3069</v>
      </c>
      <c r="I280" s="3" t="s">
        <v>3073</v>
      </c>
      <c r="J280" t="s">
        <v>3353</v>
      </c>
      <c r="K280">
        <v>6</v>
      </c>
      <c r="L280" t="s">
        <v>4276</v>
      </c>
      <c r="M280" s="3" t="s">
        <v>4278</v>
      </c>
      <c r="N280">
        <v>1812.3</v>
      </c>
    </row>
    <row r="281" spans="1:14" x14ac:dyDescent="0.35">
      <c r="A281" t="s">
        <v>293</v>
      </c>
      <c r="B281" t="s">
        <v>4534</v>
      </c>
      <c r="C281" t="s">
        <v>1493</v>
      </c>
      <c r="D281" s="3" t="s">
        <v>2406</v>
      </c>
      <c r="E281">
        <v>3</v>
      </c>
      <c r="F281">
        <v>55.01</v>
      </c>
      <c r="G281" t="s">
        <v>2649</v>
      </c>
      <c r="H281" s="3" t="s">
        <v>3066</v>
      </c>
      <c r="I281" s="3" t="s">
        <v>3074</v>
      </c>
      <c r="J281" t="s">
        <v>3354</v>
      </c>
      <c r="K281">
        <v>7</v>
      </c>
      <c r="L281" t="s">
        <v>4277</v>
      </c>
      <c r="M281" s="3" t="s">
        <v>4280</v>
      </c>
      <c r="N281">
        <v>165.03</v>
      </c>
    </row>
    <row r="282" spans="1:14" x14ac:dyDescent="0.35">
      <c r="A282" t="s">
        <v>294</v>
      </c>
      <c r="B282" t="s">
        <v>4298</v>
      </c>
      <c r="C282" t="s">
        <v>1494</v>
      </c>
      <c r="D282" s="3" t="s">
        <v>2405</v>
      </c>
      <c r="E282">
        <v>3</v>
      </c>
      <c r="F282">
        <v>404.62</v>
      </c>
      <c r="G282" t="s">
        <v>2650</v>
      </c>
      <c r="H282" s="3" t="s">
        <v>3068</v>
      </c>
      <c r="I282" s="3" t="s">
        <v>3073</v>
      </c>
      <c r="J282" t="s">
        <v>3355</v>
      </c>
      <c r="K282">
        <v>6</v>
      </c>
      <c r="L282" t="s">
        <v>4276</v>
      </c>
      <c r="M282" s="3" t="s">
        <v>4278</v>
      </c>
      <c r="N282">
        <v>1213.8599999999999</v>
      </c>
    </row>
    <row r="283" spans="1:14" x14ac:dyDescent="0.35">
      <c r="A283" t="s">
        <v>295</v>
      </c>
      <c r="B283" t="s">
        <v>4436</v>
      </c>
      <c r="C283" t="s">
        <v>1495</v>
      </c>
      <c r="D283" s="3" t="s">
        <v>2409</v>
      </c>
      <c r="E283">
        <v>4</v>
      </c>
      <c r="F283">
        <v>654.79</v>
      </c>
      <c r="G283" t="s">
        <v>2651</v>
      </c>
      <c r="H283" s="3" t="s">
        <v>3069</v>
      </c>
      <c r="I283" s="3" t="s">
        <v>3074</v>
      </c>
      <c r="J283" t="s">
        <v>3356</v>
      </c>
      <c r="K283">
        <v>9</v>
      </c>
      <c r="L283" t="s">
        <v>4292</v>
      </c>
      <c r="M283" s="3" t="s">
        <v>4279</v>
      </c>
      <c r="N283">
        <v>2619.16</v>
      </c>
    </row>
    <row r="284" spans="1:14" x14ac:dyDescent="0.35">
      <c r="A284" t="s">
        <v>296</v>
      </c>
      <c r="B284" t="s">
        <v>4535</v>
      </c>
      <c r="C284" t="s">
        <v>1496</v>
      </c>
      <c r="D284" s="3" t="s">
        <v>2407</v>
      </c>
      <c r="E284">
        <v>4</v>
      </c>
      <c r="F284">
        <v>637.79</v>
      </c>
      <c r="G284" t="s">
        <v>2652</v>
      </c>
      <c r="H284" s="3" t="s">
        <v>3068</v>
      </c>
      <c r="I284" s="3" t="s">
        <v>3071</v>
      </c>
      <c r="J284" t="s">
        <v>3357</v>
      </c>
      <c r="K284">
        <v>9</v>
      </c>
      <c r="L284" t="s">
        <v>4276</v>
      </c>
      <c r="M284" s="3" t="s">
        <v>4282</v>
      </c>
      <c r="N284">
        <v>2551.16</v>
      </c>
    </row>
    <row r="285" spans="1:14" x14ac:dyDescent="0.35">
      <c r="A285" t="s">
        <v>297</v>
      </c>
      <c r="B285" t="s">
        <v>4536</v>
      </c>
      <c r="C285" t="s">
        <v>1497</v>
      </c>
      <c r="D285" s="3" t="s">
        <v>2408</v>
      </c>
      <c r="E285">
        <v>4</v>
      </c>
      <c r="F285">
        <v>540.33000000000004</v>
      </c>
      <c r="G285" t="s">
        <v>2653</v>
      </c>
      <c r="H285" s="3" t="s">
        <v>3069</v>
      </c>
      <c r="I285" s="3" t="s">
        <v>3070</v>
      </c>
      <c r="J285" t="s">
        <v>3358</v>
      </c>
      <c r="K285">
        <v>6</v>
      </c>
      <c r="L285" t="s">
        <v>4292</v>
      </c>
      <c r="M285" s="3" t="s">
        <v>4282</v>
      </c>
      <c r="N285">
        <v>2161.3200000000002</v>
      </c>
    </row>
    <row r="286" spans="1:14" x14ac:dyDescent="0.35">
      <c r="A286" t="s">
        <v>298</v>
      </c>
      <c r="B286" t="s">
        <v>4507</v>
      </c>
      <c r="C286" t="s">
        <v>1498</v>
      </c>
      <c r="D286" s="3" t="s">
        <v>2408</v>
      </c>
      <c r="E286">
        <v>5</v>
      </c>
      <c r="F286">
        <v>208.17</v>
      </c>
      <c r="G286" t="s">
        <v>2654</v>
      </c>
      <c r="H286" s="3" t="s">
        <v>3067</v>
      </c>
      <c r="I286" s="3" t="s">
        <v>3072</v>
      </c>
      <c r="J286" t="s">
        <v>3359</v>
      </c>
      <c r="K286">
        <v>6</v>
      </c>
      <c r="L286" t="s">
        <v>4275</v>
      </c>
      <c r="M286" s="3" t="s">
        <v>4281</v>
      </c>
      <c r="N286">
        <v>1040.8499999999999</v>
      </c>
    </row>
    <row r="287" spans="1:14" x14ac:dyDescent="0.35">
      <c r="A287" t="s">
        <v>299</v>
      </c>
      <c r="B287" t="s">
        <v>4353</v>
      </c>
      <c r="C287" t="s">
        <v>1499</v>
      </c>
      <c r="D287" s="3" t="s">
        <v>2404</v>
      </c>
      <c r="E287">
        <v>1</v>
      </c>
      <c r="F287">
        <v>338.31</v>
      </c>
      <c r="G287" t="s">
        <v>2643</v>
      </c>
      <c r="H287" s="3" t="s">
        <v>3066</v>
      </c>
      <c r="I287" s="3" t="s">
        <v>3073</v>
      </c>
      <c r="J287" t="s">
        <v>3360</v>
      </c>
      <c r="K287">
        <v>3</v>
      </c>
      <c r="L287" t="s">
        <v>4292</v>
      </c>
      <c r="M287" s="3" t="s">
        <v>4282</v>
      </c>
      <c r="N287">
        <v>338.31</v>
      </c>
    </row>
    <row r="288" spans="1:14" x14ac:dyDescent="0.35">
      <c r="A288" t="s">
        <v>300</v>
      </c>
      <c r="B288" t="s">
        <v>4537</v>
      </c>
      <c r="C288" t="s">
        <v>1500</v>
      </c>
      <c r="D288" s="3" t="s">
        <v>2403</v>
      </c>
      <c r="E288">
        <v>3</v>
      </c>
      <c r="F288">
        <v>139.44999999999999</v>
      </c>
      <c r="G288" t="s">
        <v>2522</v>
      </c>
      <c r="H288" s="3" t="s">
        <v>3068</v>
      </c>
      <c r="I288" s="3" t="s">
        <v>3072</v>
      </c>
      <c r="J288" t="s">
        <v>3361</v>
      </c>
      <c r="K288">
        <v>8</v>
      </c>
      <c r="L288" t="s">
        <v>4277</v>
      </c>
      <c r="M288" s="3" t="s">
        <v>4282</v>
      </c>
      <c r="N288">
        <v>418.35</v>
      </c>
    </row>
    <row r="289" spans="1:14" x14ac:dyDescent="0.35">
      <c r="A289" t="s">
        <v>301</v>
      </c>
      <c r="B289" t="s">
        <v>4538</v>
      </c>
      <c r="C289" t="s">
        <v>1501</v>
      </c>
      <c r="D289" s="3" t="s">
        <v>2406</v>
      </c>
      <c r="E289">
        <v>4</v>
      </c>
      <c r="F289">
        <v>655.17999999999995</v>
      </c>
      <c r="G289" t="s">
        <v>2655</v>
      </c>
      <c r="H289" s="3" t="s">
        <v>3066</v>
      </c>
      <c r="I289" s="3" t="s">
        <v>3070</v>
      </c>
      <c r="J289" t="s">
        <v>3362</v>
      </c>
      <c r="K289">
        <v>5</v>
      </c>
      <c r="L289" t="s">
        <v>4292</v>
      </c>
      <c r="M289" s="3" t="s">
        <v>4281</v>
      </c>
      <c r="N289">
        <v>2620.7199999999998</v>
      </c>
    </row>
    <row r="290" spans="1:14" x14ac:dyDescent="0.35">
      <c r="A290" t="s">
        <v>302</v>
      </c>
      <c r="B290" t="s">
        <v>4539</v>
      </c>
      <c r="C290" t="s">
        <v>1502</v>
      </c>
      <c r="D290" s="3" t="s">
        <v>2408</v>
      </c>
      <c r="E290">
        <v>4</v>
      </c>
      <c r="F290">
        <v>512.75</v>
      </c>
      <c r="G290" t="s">
        <v>2656</v>
      </c>
      <c r="H290" s="3" t="s">
        <v>3065</v>
      </c>
      <c r="I290" s="3" t="s">
        <v>3072</v>
      </c>
      <c r="J290" t="s">
        <v>3363</v>
      </c>
      <c r="K290">
        <v>8</v>
      </c>
      <c r="L290" t="s">
        <v>4277</v>
      </c>
      <c r="M290" s="3" t="s">
        <v>4282</v>
      </c>
      <c r="N290">
        <v>2051</v>
      </c>
    </row>
    <row r="291" spans="1:14" x14ac:dyDescent="0.35">
      <c r="A291" t="s">
        <v>303</v>
      </c>
      <c r="B291" t="s">
        <v>4540</v>
      </c>
      <c r="C291" t="s">
        <v>1503</v>
      </c>
      <c r="D291" s="3" t="s">
        <v>2406</v>
      </c>
      <c r="E291">
        <v>4</v>
      </c>
      <c r="F291">
        <v>160.49</v>
      </c>
      <c r="G291" t="s">
        <v>2420</v>
      </c>
      <c r="H291" s="3" t="s">
        <v>3067</v>
      </c>
      <c r="I291" s="3" t="s">
        <v>3070</v>
      </c>
      <c r="J291" t="s">
        <v>3364</v>
      </c>
      <c r="K291">
        <v>8</v>
      </c>
      <c r="L291" t="s">
        <v>4277</v>
      </c>
      <c r="M291" s="3" t="s">
        <v>4279</v>
      </c>
      <c r="N291">
        <v>641.96</v>
      </c>
    </row>
    <row r="292" spans="1:14" x14ac:dyDescent="0.35">
      <c r="A292" t="s">
        <v>304</v>
      </c>
      <c r="B292" t="s">
        <v>4541</v>
      </c>
      <c r="C292" t="s">
        <v>1504</v>
      </c>
      <c r="D292" s="3" t="s">
        <v>2406</v>
      </c>
      <c r="E292">
        <v>3</v>
      </c>
      <c r="F292">
        <v>99.9</v>
      </c>
      <c r="G292" t="s">
        <v>2575</v>
      </c>
      <c r="H292" s="3" t="s">
        <v>3069</v>
      </c>
      <c r="I292" s="3" t="s">
        <v>3073</v>
      </c>
      <c r="J292" t="s">
        <v>3365</v>
      </c>
      <c r="K292">
        <v>8</v>
      </c>
      <c r="L292" t="s">
        <v>4276</v>
      </c>
      <c r="M292" s="3" t="s">
        <v>4281</v>
      </c>
      <c r="N292">
        <v>299.7</v>
      </c>
    </row>
    <row r="293" spans="1:14" x14ac:dyDescent="0.35">
      <c r="A293" t="s">
        <v>305</v>
      </c>
      <c r="B293" t="s">
        <v>4542</v>
      </c>
      <c r="C293" t="s">
        <v>1505</v>
      </c>
      <c r="D293" s="3" t="s">
        <v>2404</v>
      </c>
      <c r="E293">
        <v>2</v>
      </c>
      <c r="F293">
        <v>345.01</v>
      </c>
      <c r="G293" t="s">
        <v>2657</v>
      </c>
      <c r="H293" s="3" t="s">
        <v>3067</v>
      </c>
      <c r="I293" s="3" t="s">
        <v>3073</v>
      </c>
      <c r="J293" t="s">
        <v>3366</v>
      </c>
      <c r="K293">
        <v>6</v>
      </c>
      <c r="L293" t="s">
        <v>4276</v>
      </c>
      <c r="M293" s="3" t="s">
        <v>4282</v>
      </c>
      <c r="N293">
        <v>690.02</v>
      </c>
    </row>
    <row r="294" spans="1:14" x14ac:dyDescent="0.35">
      <c r="A294" t="s">
        <v>306</v>
      </c>
      <c r="B294" t="s">
        <v>4543</v>
      </c>
      <c r="C294" t="s">
        <v>1506</v>
      </c>
      <c r="D294" s="3" t="s">
        <v>2403</v>
      </c>
      <c r="E294">
        <v>1</v>
      </c>
      <c r="F294">
        <v>65.95</v>
      </c>
      <c r="G294" t="s">
        <v>2594</v>
      </c>
      <c r="H294" s="3" t="s">
        <v>3067</v>
      </c>
      <c r="I294" s="3" t="s">
        <v>3073</v>
      </c>
      <c r="J294" t="s">
        <v>3367</v>
      </c>
      <c r="K294">
        <v>5</v>
      </c>
      <c r="L294" t="s">
        <v>4292</v>
      </c>
      <c r="M294" s="3" t="s">
        <v>4281</v>
      </c>
      <c r="N294">
        <v>65.95</v>
      </c>
    </row>
    <row r="295" spans="1:14" x14ac:dyDescent="0.35">
      <c r="A295" t="s">
        <v>307</v>
      </c>
      <c r="B295" t="s">
        <v>4507</v>
      </c>
      <c r="C295" t="s">
        <v>1507</v>
      </c>
      <c r="D295" s="3" t="s">
        <v>2405</v>
      </c>
      <c r="E295">
        <v>4</v>
      </c>
      <c r="F295">
        <v>463.04</v>
      </c>
      <c r="G295" t="s">
        <v>2658</v>
      </c>
      <c r="H295" s="3" t="s">
        <v>3068</v>
      </c>
      <c r="I295" s="3" t="s">
        <v>3072</v>
      </c>
      <c r="J295" t="s">
        <v>3368</v>
      </c>
      <c r="K295">
        <v>9</v>
      </c>
      <c r="L295" t="s">
        <v>4292</v>
      </c>
      <c r="M295" s="3" t="s">
        <v>4278</v>
      </c>
      <c r="N295">
        <v>1852.16</v>
      </c>
    </row>
    <row r="296" spans="1:14" x14ac:dyDescent="0.35">
      <c r="A296" t="s">
        <v>308</v>
      </c>
      <c r="B296" t="s">
        <v>4544</v>
      </c>
      <c r="C296" t="s">
        <v>1508</v>
      </c>
      <c r="D296" s="3" t="s">
        <v>2404</v>
      </c>
      <c r="E296">
        <v>2</v>
      </c>
      <c r="F296">
        <v>297.70999999999998</v>
      </c>
      <c r="G296" t="s">
        <v>2659</v>
      </c>
      <c r="H296" s="3" t="s">
        <v>3066</v>
      </c>
      <c r="I296" s="3" t="s">
        <v>3070</v>
      </c>
      <c r="J296" t="s">
        <v>3369</v>
      </c>
      <c r="K296">
        <v>7</v>
      </c>
      <c r="L296" t="s">
        <v>4275</v>
      </c>
      <c r="M296" s="3" t="s">
        <v>4279</v>
      </c>
      <c r="N296">
        <v>595.41999999999996</v>
      </c>
    </row>
    <row r="297" spans="1:14" x14ac:dyDescent="0.35">
      <c r="A297" t="s">
        <v>309</v>
      </c>
      <c r="B297" t="s">
        <v>4545</v>
      </c>
      <c r="C297" t="s">
        <v>1509</v>
      </c>
      <c r="D297" s="3" t="s">
        <v>2407</v>
      </c>
      <c r="E297">
        <v>5</v>
      </c>
      <c r="F297">
        <v>107.48</v>
      </c>
      <c r="G297" t="s">
        <v>2660</v>
      </c>
      <c r="H297" s="3" t="s">
        <v>3065</v>
      </c>
      <c r="I297" s="3" t="s">
        <v>3071</v>
      </c>
      <c r="J297" t="s">
        <v>3370</v>
      </c>
      <c r="K297">
        <v>9</v>
      </c>
      <c r="L297" t="s">
        <v>4276</v>
      </c>
      <c r="M297" s="3" t="s">
        <v>4280</v>
      </c>
      <c r="N297">
        <v>537.4</v>
      </c>
    </row>
    <row r="298" spans="1:14" x14ac:dyDescent="0.35">
      <c r="A298" t="s">
        <v>310</v>
      </c>
      <c r="B298" t="s">
        <v>4367</v>
      </c>
      <c r="C298" t="s">
        <v>1510</v>
      </c>
      <c r="D298" s="3" t="s">
        <v>2409</v>
      </c>
      <c r="E298">
        <v>5</v>
      </c>
      <c r="F298">
        <v>638.79999999999995</v>
      </c>
      <c r="G298" t="s">
        <v>2458</v>
      </c>
      <c r="H298" s="3" t="s">
        <v>3065</v>
      </c>
      <c r="I298" s="3" t="s">
        <v>3071</v>
      </c>
      <c r="J298" t="s">
        <v>3371</v>
      </c>
      <c r="K298">
        <v>10</v>
      </c>
      <c r="L298" t="s">
        <v>4277</v>
      </c>
      <c r="M298" s="3" t="s">
        <v>4279</v>
      </c>
      <c r="N298">
        <v>3194</v>
      </c>
    </row>
    <row r="299" spans="1:14" x14ac:dyDescent="0.35">
      <c r="A299" t="s">
        <v>311</v>
      </c>
      <c r="B299" t="s">
        <v>4546</v>
      </c>
      <c r="C299" t="s">
        <v>1511</v>
      </c>
      <c r="D299" s="3" t="s">
        <v>2409</v>
      </c>
      <c r="E299">
        <v>2</v>
      </c>
      <c r="F299">
        <v>493.88</v>
      </c>
      <c r="G299" t="s">
        <v>2661</v>
      </c>
      <c r="H299" s="3" t="s">
        <v>3067</v>
      </c>
      <c r="I299" s="3" t="s">
        <v>3072</v>
      </c>
      <c r="J299" t="s">
        <v>3372</v>
      </c>
      <c r="K299">
        <v>7</v>
      </c>
      <c r="L299" t="s">
        <v>4275</v>
      </c>
      <c r="M299" s="3" t="s">
        <v>4278</v>
      </c>
      <c r="N299">
        <v>987.76</v>
      </c>
    </row>
    <row r="300" spans="1:14" x14ac:dyDescent="0.35">
      <c r="A300" t="s">
        <v>312</v>
      </c>
      <c r="B300" t="s">
        <v>4547</v>
      </c>
      <c r="C300" t="s">
        <v>1512</v>
      </c>
      <c r="D300" s="3" t="s">
        <v>2407</v>
      </c>
      <c r="E300">
        <v>4</v>
      </c>
      <c r="F300">
        <v>301.17</v>
      </c>
      <c r="G300" t="s">
        <v>2450</v>
      </c>
      <c r="H300" s="3" t="s">
        <v>3066</v>
      </c>
      <c r="I300" s="3" t="s">
        <v>3071</v>
      </c>
      <c r="J300" t="s">
        <v>3373</v>
      </c>
      <c r="K300">
        <v>6</v>
      </c>
      <c r="L300" t="s">
        <v>4292</v>
      </c>
      <c r="M300" s="3" t="s">
        <v>4280</v>
      </c>
      <c r="N300">
        <v>1204.68</v>
      </c>
    </row>
    <row r="301" spans="1:14" x14ac:dyDescent="0.35">
      <c r="A301" t="s">
        <v>313</v>
      </c>
      <c r="B301" t="s">
        <v>4548</v>
      </c>
      <c r="C301" t="s">
        <v>1513</v>
      </c>
      <c r="D301" s="3" t="s">
        <v>2403</v>
      </c>
      <c r="E301">
        <v>1</v>
      </c>
      <c r="F301">
        <v>278.66000000000003</v>
      </c>
      <c r="G301" t="s">
        <v>2662</v>
      </c>
      <c r="H301" s="3" t="s">
        <v>3068</v>
      </c>
      <c r="I301" s="3" t="s">
        <v>3071</v>
      </c>
      <c r="J301" t="s">
        <v>3374</v>
      </c>
      <c r="K301">
        <v>2</v>
      </c>
      <c r="L301" t="s">
        <v>4276</v>
      </c>
      <c r="M301" s="3" t="s">
        <v>4278</v>
      </c>
      <c r="N301">
        <v>278.66000000000003</v>
      </c>
    </row>
    <row r="302" spans="1:14" x14ac:dyDescent="0.35">
      <c r="A302" t="s">
        <v>314</v>
      </c>
      <c r="B302" t="s">
        <v>4549</v>
      </c>
      <c r="C302" t="s">
        <v>1514</v>
      </c>
      <c r="D302" s="3" t="s">
        <v>2404</v>
      </c>
      <c r="E302">
        <v>1</v>
      </c>
      <c r="F302">
        <v>287.45999999999998</v>
      </c>
      <c r="G302" t="s">
        <v>2663</v>
      </c>
      <c r="H302" s="3" t="s">
        <v>3065</v>
      </c>
      <c r="I302" s="3" t="s">
        <v>3072</v>
      </c>
      <c r="J302" t="s">
        <v>3375</v>
      </c>
      <c r="K302">
        <v>3</v>
      </c>
      <c r="L302" t="s">
        <v>4276</v>
      </c>
      <c r="M302" s="3" t="s">
        <v>4281</v>
      </c>
      <c r="N302">
        <v>287.45999999999998</v>
      </c>
    </row>
    <row r="303" spans="1:14" x14ac:dyDescent="0.35">
      <c r="A303" t="s">
        <v>315</v>
      </c>
      <c r="B303" t="s">
        <v>4351</v>
      </c>
      <c r="C303" t="s">
        <v>1515</v>
      </c>
      <c r="D303" s="3" t="s">
        <v>2406</v>
      </c>
      <c r="E303">
        <v>1</v>
      </c>
      <c r="F303">
        <v>583.99</v>
      </c>
      <c r="G303" t="s">
        <v>2664</v>
      </c>
      <c r="H303" s="3" t="s">
        <v>3069</v>
      </c>
      <c r="I303" s="3" t="s">
        <v>3071</v>
      </c>
      <c r="J303" t="s">
        <v>3376</v>
      </c>
      <c r="K303">
        <v>2</v>
      </c>
      <c r="L303" t="s">
        <v>4275</v>
      </c>
      <c r="M303" s="3" t="s">
        <v>4280</v>
      </c>
      <c r="N303">
        <v>583.99</v>
      </c>
    </row>
    <row r="304" spans="1:14" x14ac:dyDescent="0.35">
      <c r="A304" t="s">
        <v>316</v>
      </c>
      <c r="B304" t="s">
        <v>4504</v>
      </c>
      <c r="C304" t="s">
        <v>1516</v>
      </c>
      <c r="D304" s="3" t="s">
        <v>2406</v>
      </c>
      <c r="E304">
        <v>3</v>
      </c>
      <c r="F304">
        <v>468.74</v>
      </c>
      <c r="G304" t="s">
        <v>2665</v>
      </c>
      <c r="H304" s="3" t="s">
        <v>3069</v>
      </c>
      <c r="I304" s="3" t="s">
        <v>3074</v>
      </c>
      <c r="J304" t="s">
        <v>3377</v>
      </c>
      <c r="K304">
        <v>4</v>
      </c>
      <c r="L304" t="s">
        <v>4276</v>
      </c>
      <c r="M304" s="3" t="s">
        <v>4278</v>
      </c>
      <c r="N304">
        <v>1406.22</v>
      </c>
    </row>
    <row r="305" spans="1:14" x14ac:dyDescent="0.35">
      <c r="A305" t="s">
        <v>317</v>
      </c>
      <c r="B305" t="s">
        <v>4318</v>
      </c>
      <c r="C305" t="s">
        <v>1517</v>
      </c>
      <c r="D305" s="3" t="s">
        <v>2405</v>
      </c>
      <c r="E305">
        <v>1</v>
      </c>
      <c r="F305">
        <v>30.54</v>
      </c>
      <c r="G305" t="s">
        <v>2666</v>
      </c>
      <c r="H305" s="3" t="s">
        <v>3065</v>
      </c>
      <c r="I305" s="3" t="s">
        <v>3072</v>
      </c>
      <c r="J305" t="s">
        <v>3378</v>
      </c>
      <c r="K305">
        <v>1</v>
      </c>
      <c r="L305" t="s">
        <v>4292</v>
      </c>
      <c r="M305" s="3" t="s">
        <v>4282</v>
      </c>
      <c r="N305">
        <v>30.54</v>
      </c>
    </row>
    <row r="306" spans="1:14" x14ac:dyDescent="0.35">
      <c r="A306" t="s">
        <v>318</v>
      </c>
      <c r="B306" t="s">
        <v>4550</v>
      </c>
      <c r="C306" t="s">
        <v>1518</v>
      </c>
      <c r="D306" s="3" t="s">
        <v>2403</v>
      </c>
      <c r="E306">
        <v>5</v>
      </c>
      <c r="F306">
        <v>408.73</v>
      </c>
      <c r="G306" t="s">
        <v>2667</v>
      </c>
      <c r="H306" s="3" t="s">
        <v>3068</v>
      </c>
      <c r="I306" s="3" t="s">
        <v>3073</v>
      </c>
      <c r="J306" t="s">
        <v>3379</v>
      </c>
      <c r="K306">
        <v>10</v>
      </c>
      <c r="L306" t="s">
        <v>4276</v>
      </c>
      <c r="M306" s="3" t="s">
        <v>4278</v>
      </c>
      <c r="N306">
        <v>2043.65</v>
      </c>
    </row>
    <row r="307" spans="1:14" x14ac:dyDescent="0.35">
      <c r="A307" t="s">
        <v>319</v>
      </c>
      <c r="B307" t="s">
        <v>4381</v>
      </c>
      <c r="C307" t="s">
        <v>1519</v>
      </c>
      <c r="D307" s="3" t="s">
        <v>2408</v>
      </c>
      <c r="E307">
        <v>4</v>
      </c>
      <c r="F307">
        <v>126.89</v>
      </c>
      <c r="G307" t="s">
        <v>2668</v>
      </c>
      <c r="H307" s="3" t="s">
        <v>3069</v>
      </c>
      <c r="I307" s="3" t="s">
        <v>3074</v>
      </c>
      <c r="J307" t="s">
        <v>3380</v>
      </c>
      <c r="K307">
        <v>9</v>
      </c>
      <c r="L307" t="s">
        <v>4276</v>
      </c>
      <c r="M307" s="3" t="s">
        <v>4278</v>
      </c>
      <c r="N307">
        <v>507.56</v>
      </c>
    </row>
    <row r="308" spans="1:14" x14ac:dyDescent="0.35">
      <c r="A308" t="s">
        <v>320</v>
      </c>
      <c r="B308" t="s">
        <v>4551</v>
      </c>
      <c r="C308" t="s">
        <v>1520</v>
      </c>
      <c r="D308" s="3" t="s">
        <v>2407</v>
      </c>
      <c r="E308">
        <v>2</v>
      </c>
      <c r="F308">
        <v>57.07</v>
      </c>
      <c r="G308" t="s">
        <v>2669</v>
      </c>
      <c r="H308" s="3" t="s">
        <v>3065</v>
      </c>
      <c r="I308" s="3" t="s">
        <v>3072</v>
      </c>
      <c r="J308" t="s">
        <v>3381</v>
      </c>
      <c r="K308">
        <v>3</v>
      </c>
      <c r="L308" t="s">
        <v>4275</v>
      </c>
      <c r="M308" s="3" t="s">
        <v>4278</v>
      </c>
      <c r="N308">
        <v>114.14</v>
      </c>
    </row>
    <row r="309" spans="1:14" x14ac:dyDescent="0.35">
      <c r="A309" t="s">
        <v>321</v>
      </c>
      <c r="B309" t="s">
        <v>4552</v>
      </c>
      <c r="C309" t="s">
        <v>1521</v>
      </c>
      <c r="D309" s="3" t="s">
        <v>2408</v>
      </c>
      <c r="E309">
        <v>3</v>
      </c>
      <c r="F309">
        <v>557.41</v>
      </c>
      <c r="G309" t="s">
        <v>2670</v>
      </c>
      <c r="H309" s="3" t="s">
        <v>3066</v>
      </c>
      <c r="I309" s="3" t="s">
        <v>3073</v>
      </c>
      <c r="J309" t="s">
        <v>3382</v>
      </c>
      <c r="K309">
        <v>4</v>
      </c>
      <c r="L309" t="s">
        <v>4292</v>
      </c>
      <c r="M309" s="3" t="s">
        <v>4280</v>
      </c>
      <c r="N309">
        <v>1672.23</v>
      </c>
    </row>
    <row r="310" spans="1:14" x14ac:dyDescent="0.35">
      <c r="A310" t="s">
        <v>322</v>
      </c>
      <c r="B310" t="s">
        <v>4350</v>
      </c>
      <c r="C310" t="s">
        <v>1522</v>
      </c>
      <c r="D310" s="3" t="s">
        <v>2407</v>
      </c>
      <c r="E310">
        <v>3</v>
      </c>
      <c r="F310">
        <v>448.9</v>
      </c>
      <c r="G310" t="s">
        <v>2566</v>
      </c>
      <c r="H310" s="3" t="s">
        <v>3065</v>
      </c>
      <c r="I310" s="3" t="s">
        <v>3072</v>
      </c>
      <c r="J310" t="s">
        <v>3383</v>
      </c>
      <c r="K310">
        <v>7</v>
      </c>
      <c r="L310" t="s">
        <v>4275</v>
      </c>
      <c r="M310" s="3" t="s">
        <v>4278</v>
      </c>
      <c r="N310">
        <v>1346.7</v>
      </c>
    </row>
    <row r="311" spans="1:14" x14ac:dyDescent="0.35">
      <c r="A311" t="s">
        <v>323</v>
      </c>
      <c r="B311" t="s">
        <v>4553</v>
      </c>
      <c r="C311" t="s">
        <v>1523</v>
      </c>
      <c r="D311" s="3" t="s">
        <v>2406</v>
      </c>
      <c r="E311">
        <v>4</v>
      </c>
      <c r="F311">
        <v>549.76</v>
      </c>
      <c r="G311" t="s">
        <v>2671</v>
      </c>
      <c r="H311" s="3" t="s">
        <v>3065</v>
      </c>
      <c r="I311" s="3" t="s">
        <v>3073</v>
      </c>
      <c r="J311" t="s">
        <v>3384</v>
      </c>
      <c r="K311">
        <v>4</v>
      </c>
      <c r="L311" t="s">
        <v>4276</v>
      </c>
      <c r="M311" s="3" t="s">
        <v>4281</v>
      </c>
      <c r="N311">
        <v>2199.04</v>
      </c>
    </row>
    <row r="312" spans="1:14" x14ac:dyDescent="0.35">
      <c r="A312" t="s">
        <v>324</v>
      </c>
      <c r="B312" t="s">
        <v>4554</v>
      </c>
      <c r="C312" t="s">
        <v>1524</v>
      </c>
      <c r="D312" s="3" t="s">
        <v>2407</v>
      </c>
      <c r="E312">
        <v>3</v>
      </c>
      <c r="F312">
        <v>132.47999999999999</v>
      </c>
      <c r="G312" t="s">
        <v>2672</v>
      </c>
      <c r="H312" s="3" t="s">
        <v>3066</v>
      </c>
      <c r="I312" s="3" t="s">
        <v>3070</v>
      </c>
      <c r="J312" t="s">
        <v>3385</v>
      </c>
      <c r="K312">
        <v>4</v>
      </c>
      <c r="L312" t="s">
        <v>4292</v>
      </c>
      <c r="M312" s="3" t="s">
        <v>4279</v>
      </c>
      <c r="N312">
        <v>397.44</v>
      </c>
    </row>
    <row r="313" spans="1:14" x14ac:dyDescent="0.35">
      <c r="A313" t="s">
        <v>325</v>
      </c>
      <c r="B313" t="s">
        <v>4555</v>
      </c>
      <c r="C313" t="s">
        <v>1525</v>
      </c>
      <c r="D313" s="3" t="s">
        <v>2409</v>
      </c>
      <c r="E313">
        <v>5</v>
      </c>
      <c r="F313">
        <v>489.37</v>
      </c>
      <c r="G313" t="s">
        <v>2673</v>
      </c>
      <c r="H313" s="3" t="s">
        <v>3066</v>
      </c>
      <c r="I313" s="3" t="s">
        <v>3072</v>
      </c>
      <c r="J313" t="s">
        <v>3386</v>
      </c>
      <c r="K313">
        <v>8</v>
      </c>
      <c r="L313" t="s">
        <v>4292</v>
      </c>
      <c r="M313" s="3" t="s">
        <v>4278</v>
      </c>
      <c r="N313">
        <v>2446.85</v>
      </c>
    </row>
    <row r="314" spans="1:14" x14ac:dyDescent="0.35">
      <c r="A314" t="s">
        <v>326</v>
      </c>
      <c r="B314" t="s">
        <v>4556</v>
      </c>
      <c r="C314" t="s">
        <v>1526</v>
      </c>
      <c r="D314" s="3" t="s">
        <v>2407</v>
      </c>
      <c r="E314">
        <v>5</v>
      </c>
      <c r="F314">
        <v>66.31</v>
      </c>
      <c r="G314" t="s">
        <v>2606</v>
      </c>
      <c r="H314" s="3" t="s">
        <v>3068</v>
      </c>
      <c r="I314" s="3" t="s">
        <v>3074</v>
      </c>
      <c r="J314" t="s">
        <v>3387</v>
      </c>
      <c r="K314">
        <v>7</v>
      </c>
      <c r="L314" t="s">
        <v>4276</v>
      </c>
      <c r="M314" s="3" t="s">
        <v>4279</v>
      </c>
      <c r="N314">
        <v>331.55</v>
      </c>
    </row>
    <row r="315" spans="1:14" x14ac:dyDescent="0.35">
      <c r="A315" t="s">
        <v>327</v>
      </c>
      <c r="B315" t="s">
        <v>4557</v>
      </c>
      <c r="C315" t="s">
        <v>1527</v>
      </c>
      <c r="D315" s="3" t="s">
        <v>2406</v>
      </c>
      <c r="E315">
        <v>2</v>
      </c>
      <c r="F315">
        <v>434.3</v>
      </c>
      <c r="G315" t="s">
        <v>2674</v>
      </c>
      <c r="H315" s="3" t="s">
        <v>3069</v>
      </c>
      <c r="I315" s="3" t="s">
        <v>3073</v>
      </c>
      <c r="J315" t="s">
        <v>3388</v>
      </c>
      <c r="K315">
        <v>7</v>
      </c>
      <c r="L315" t="s">
        <v>4275</v>
      </c>
      <c r="M315" s="3" t="s">
        <v>4278</v>
      </c>
      <c r="N315">
        <v>868.6</v>
      </c>
    </row>
    <row r="316" spans="1:14" x14ac:dyDescent="0.35">
      <c r="A316" t="s">
        <v>328</v>
      </c>
      <c r="B316" t="s">
        <v>4558</v>
      </c>
      <c r="C316" t="s">
        <v>1528</v>
      </c>
      <c r="D316" s="3" t="s">
        <v>2409</v>
      </c>
      <c r="E316">
        <v>4</v>
      </c>
      <c r="F316">
        <v>153.09</v>
      </c>
      <c r="G316" t="s">
        <v>2675</v>
      </c>
      <c r="H316" s="3" t="s">
        <v>3066</v>
      </c>
      <c r="I316" s="3" t="s">
        <v>3073</v>
      </c>
      <c r="J316" t="s">
        <v>3389</v>
      </c>
      <c r="K316">
        <v>4</v>
      </c>
      <c r="L316" t="s">
        <v>4276</v>
      </c>
      <c r="M316" s="3" t="s">
        <v>4279</v>
      </c>
      <c r="N316">
        <v>612.36</v>
      </c>
    </row>
    <row r="317" spans="1:14" x14ac:dyDescent="0.35">
      <c r="A317" t="s">
        <v>329</v>
      </c>
      <c r="B317" t="s">
        <v>4559</v>
      </c>
      <c r="C317" t="s">
        <v>1529</v>
      </c>
      <c r="D317" s="3" t="s">
        <v>2405</v>
      </c>
      <c r="E317">
        <v>5</v>
      </c>
      <c r="F317">
        <v>91.67</v>
      </c>
      <c r="G317" t="s">
        <v>2676</v>
      </c>
      <c r="H317" s="3" t="s">
        <v>3066</v>
      </c>
      <c r="I317" s="3" t="s">
        <v>3071</v>
      </c>
      <c r="J317" t="s">
        <v>3390</v>
      </c>
      <c r="K317">
        <v>9</v>
      </c>
      <c r="L317" t="s">
        <v>4276</v>
      </c>
      <c r="M317" s="3" t="s">
        <v>4280</v>
      </c>
      <c r="N317">
        <v>458.35</v>
      </c>
    </row>
    <row r="318" spans="1:14" x14ac:dyDescent="0.35">
      <c r="A318" t="s">
        <v>330</v>
      </c>
      <c r="B318" t="s">
        <v>4560</v>
      </c>
      <c r="C318" t="s">
        <v>1530</v>
      </c>
      <c r="D318" s="3" t="s">
        <v>2409</v>
      </c>
      <c r="E318">
        <v>4</v>
      </c>
      <c r="F318">
        <v>275.27999999999997</v>
      </c>
      <c r="G318" t="s">
        <v>2677</v>
      </c>
      <c r="H318" s="3" t="s">
        <v>3068</v>
      </c>
      <c r="I318" s="3" t="s">
        <v>3070</v>
      </c>
      <c r="J318" t="s">
        <v>3391</v>
      </c>
      <c r="K318">
        <v>9</v>
      </c>
      <c r="L318" t="s">
        <v>4277</v>
      </c>
      <c r="M318" s="3" t="s">
        <v>4281</v>
      </c>
      <c r="N318">
        <v>1101.1199999999999</v>
      </c>
    </row>
    <row r="319" spans="1:14" x14ac:dyDescent="0.35">
      <c r="A319" t="s">
        <v>331</v>
      </c>
      <c r="B319" t="s">
        <v>4416</v>
      </c>
      <c r="C319" t="s">
        <v>1531</v>
      </c>
      <c r="D319" s="3" t="s">
        <v>2403</v>
      </c>
      <c r="E319">
        <v>2</v>
      </c>
      <c r="F319">
        <v>139.94999999999999</v>
      </c>
      <c r="G319" t="s">
        <v>2678</v>
      </c>
      <c r="H319" s="3" t="s">
        <v>3066</v>
      </c>
      <c r="I319" s="3" t="s">
        <v>3072</v>
      </c>
      <c r="J319" t="s">
        <v>3392</v>
      </c>
      <c r="K319">
        <v>5</v>
      </c>
      <c r="L319" t="s">
        <v>4292</v>
      </c>
      <c r="M319" s="3" t="s">
        <v>4278</v>
      </c>
      <c r="N319">
        <v>279.89999999999998</v>
      </c>
    </row>
    <row r="320" spans="1:14" x14ac:dyDescent="0.35">
      <c r="A320" t="s">
        <v>332</v>
      </c>
      <c r="B320" t="s">
        <v>4561</v>
      </c>
      <c r="C320" t="s">
        <v>1532</v>
      </c>
      <c r="D320" s="3" t="s">
        <v>2406</v>
      </c>
      <c r="E320">
        <v>3</v>
      </c>
      <c r="F320">
        <v>148.72</v>
      </c>
      <c r="G320" t="s">
        <v>2596</v>
      </c>
      <c r="H320" s="3" t="s">
        <v>3065</v>
      </c>
      <c r="I320" s="3" t="s">
        <v>3071</v>
      </c>
      <c r="J320" t="s">
        <v>3393</v>
      </c>
      <c r="K320">
        <v>7</v>
      </c>
      <c r="L320" t="s">
        <v>4275</v>
      </c>
      <c r="M320" s="3" t="s">
        <v>4282</v>
      </c>
      <c r="N320">
        <v>446.16</v>
      </c>
    </row>
    <row r="321" spans="1:14" x14ac:dyDescent="0.35">
      <c r="A321" t="s">
        <v>333</v>
      </c>
      <c r="B321" t="s">
        <v>4562</v>
      </c>
      <c r="C321" t="s">
        <v>1533</v>
      </c>
      <c r="D321" s="3" t="s">
        <v>2408</v>
      </c>
      <c r="E321">
        <v>2</v>
      </c>
      <c r="F321">
        <v>563.05999999999995</v>
      </c>
      <c r="G321" t="s">
        <v>2679</v>
      </c>
      <c r="H321" s="3" t="s">
        <v>3069</v>
      </c>
      <c r="I321" s="3" t="s">
        <v>3072</v>
      </c>
      <c r="J321" t="s">
        <v>3394</v>
      </c>
      <c r="K321">
        <v>6</v>
      </c>
      <c r="L321" t="s">
        <v>4292</v>
      </c>
      <c r="M321" s="3" t="s">
        <v>4278</v>
      </c>
      <c r="N321">
        <v>1126.1199999999999</v>
      </c>
    </row>
    <row r="322" spans="1:14" x14ac:dyDescent="0.35">
      <c r="A322" t="s">
        <v>334</v>
      </c>
      <c r="B322" t="s">
        <v>4320</v>
      </c>
      <c r="C322" t="s">
        <v>1534</v>
      </c>
      <c r="D322" s="3" t="s">
        <v>2407</v>
      </c>
      <c r="E322">
        <v>1</v>
      </c>
      <c r="F322">
        <v>625.51</v>
      </c>
      <c r="G322" t="s">
        <v>2680</v>
      </c>
      <c r="H322" s="3" t="s">
        <v>3067</v>
      </c>
      <c r="I322" s="3" t="s">
        <v>3070</v>
      </c>
      <c r="J322" t="s">
        <v>3395</v>
      </c>
      <c r="K322">
        <v>1</v>
      </c>
      <c r="L322" t="s">
        <v>4276</v>
      </c>
      <c r="M322" s="3" t="s">
        <v>4281</v>
      </c>
      <c r="N322">
        <v>625.51</v>
      </c>
    </row>
    <row r="323" spans="1:14" x14ac:dyDescent="0.35">
      <c r="A323" t="s">
        <v>335</v>
      </c>
      <c r="B323" t="s">
        <v>4563</v>
      </c>
      <c r="C323" t="s">
        <v>1535</v>
      </c>
      <c r="D323" s="3" t="s">
        <v>2404</v>
      </c>
      <c r="E323">
        <v>4</v>
      </c>
      <c r="F323">
        <v>152.29</v>
      </c>
      <c r="G323" t="s">
        <v>2670</v>
      </c>
      <c r="H323" s="3" t="s">
        <v>3065</v>
      </c>
      <c r="I323" s="3" t="s">
        <v>3071</v>
      </c>
      <c r="J323" t="s">
        <v>3396</v>
      </c>
      <c r="K323">
        <v>6</v>
      </c>
      <c r="L323" t="s">
        <v>4277</v>
      </c>
      <c r="M323" s="3" t="s">
        <v>4282</v>
      </c>
      <c r="N323">
        <v>609.16</v>
      </c>
    </row>
    <row r="324" spans="1:14" x14ac:dyDescent="0.35">
      <c r="A324" t="s">
        <v>336</v>
      </c>
      <c r="B324" t="s">
        <v>4564</v>
      </c>
      <c r="C324" t="s">
        <v>1536</v>
      </c>
      <c r="D324" s="3" t="s">
        <v>2404</v>
      </c>
      <c r="E324">
        <v>5</v>
      </c>
      <c r="F324">
        <v>231.82</v>
      </c>
      <c r="G324" t="s">
        <v>2678</v>
      </c>
      <c r="H324" s="3" t="s">
        <v>3065</v>
      </c>
      <c r="I324" s="3" t="s">
        <v>3073</v>
      </c>
      <c r="J324" t="s">
        <v>3397</v>
      </c>
      <c r="K324">
        <v>6</v>
      </c>
      <c r="L324" t="s">
        <v>4275</v>
      </c>
      <c r="M324" s="3" t="s">
        <v>4281</v>
      </c>
      <c r="N324">
        <v>1159.0999999999999</v>
      </c>
    </row>
    <row r="325" spans="1:14" x14ac:dyDescent="0.35">
      <c r="A325" t="s">
        <v>337</v>
      </c>
      <c r="B325" t="s">
        <v>4565</v>
      </c>
      <c r="C325" t="s">
        <v>1537</v>
      </c>
      <c r="D325" s="3" t="s">
        <v>2408</v>
      </c>
      <c r="E325">
        <v>1</v>
      </c>
      <c r="F325">
        <v>150.16999999999999</v>
      </c>
      <c r="G325" t="s">
        <v>2681</v>
      </c>
      <c r="H325" s="3" t="s">
        <v>3065</v>
      </c>
      <c r="I325" s="3" t="s">
        <v>3072</v>
      </c>
      <c r="J325" t="s">
        <v>3398</v>
      </c>
      <c r="K325">
        <v>1</v>
      </c>
      <c r="L325" t="s">
        <v>4275</v>
      </c>
      <c r="M325" s="3" t="s">
        <v>4279</v>
      </c>
      <c r="N325">
        <v>150.16999999999999</v>
      </c>
    </row>
    <row r="326" spans="1:14" x14ac:dyDescent="0.35">
      <c r="A326" t="s">
        <v>338</v>
      </c>
      <c r="B326" t="s">
        <v>4420</v>
      </c>
      <c r="C326" t="s">
        <v>1538</v>
      </c>
      <c r="D326" s="3" t="s">
        <v>2405</v>
      </c>
      <c r="E326">
        <v>3</v>
      </c>
      <c r="F326">
        <v>70.930000000000007</v>
      </c>
      <c r="G326" t="s">
        <v>2682</v>
      </c>
      <c r="H326" s="3" t="s">
        <v>3065</v>
      </c>
      <c r="I326" s="3" t="s">
        <v>3072</v>
      </c>
      <c r="J326" t="s">
        <v>3399</v>
      </c>
      <c r="K326">
        <v>5</v>
      </c>
      <c r="L326" t="s">
        <v>4292</v>
      </c>
      <c r="M326" s="3" t="s">
        <v>4279</v>
      </c>
      <c r="N326">
        <v>212.79</v>
      </c>
    </row>
    <row r="327" spans="1:14" x14ac:dyDescent="0.35">
      <c r="A327" t="s">
        <v>339</v>
      </c>
      <c r="B327" t="s">
        <v>4566</v>
      </c>
      <c r="C327" t="s">
        <v>1539</v>
      </c>
      <c r="D327" s="3" t="s">
        <v>2409</v>
      </c>
      <c r="E327">
        <v>3</v>
      </c>
      <c r="F327">
        <v>361.39</v>
      </c>
      <c r="G327" t="s">
        <v>2683</v>
      </c>
      <c r="H327" s="3" t="s">
        <v>3067</v>
      </c>
      <c r="I327" s="3" t="s">
        <v>3070</v>
      </c>
      <c r="J327" t="s">
        <v>3400</v>
      </c>
      <c r="K327">
        <v>8</v>
      </c>
      <c r="L327" t="s">
        <v>4292</v>
      </c>
      <c r="M327" s="3" t="s">
        <v>4279</v>
      </c>
      <c r="N327">
        <v>1084.17</v>
      </c>
    </row>
    <row r="328" spans="1:14" x14ac:dyDescent="0.35">
      <c r="A328" t="s">
        <v>340</v>
      </c>
      <c r="B328" t="s">
        <v>4567</v>
      </c>
      <c r="C328" t="s">
        <v>1540</v>
      </c>
      <c r="D328" s="3" t="s">
        <v>2408</v>
      </c>
      <c r="E328">
        <v>5</v>
      </c>
      <c r="F328">
        <v>670.48</v>
      </c>
      <c r="G328" t="s">
        <v>2429</v>
      </c>
      <c r="H328" s="3" t="s">
        <v>3068</v>
      </c>
      <c r="I328" s="3" t="s">
        <v>3072</v>
      </c>
      <c r="J328" t="s">
        <v>3401</v>
      </c>
      <c r="K328">
        <v>5</v>
      </c>
      <c r="L328" t="s">
        <v>4275</v>
      </c>
      <c r="M328" s="3" t="s">
        <v>4281</v>
      </c>
      <c r="N328">
        <v>3352.4</v>
      </c>
    </row>
    <row r="329" spans="1:14" x14ac:dyDescent="0.35">
      <c r="A329" t="s">
        <v>341</v>
      </c>
      <c r="B329" t="s">
        <v>4568</v>
      </c>
      <c r="C329" t="s">
        <v>1541</v>
      </c>
      <c r="D329" s="3" t="s">
        <v>2404</v>
      </c>
      <c r="E329">
        <v>1</v>
      </c>
      <c r="F329">
        <v>359.99</v>
      </c>
      <c r="G329" t="s">
        <v>2471</v>
      </c>
      <c r="H329" s="3" t="s">
        <v>3068</v>
      </c>
      <c r="I329" s="3" t="s">
        <v>3071</v>
      </c>
      <c r="J329" t="s">
        <v>3402</v>
      </c>
      <c r="K329">
        <v>5</v>
      </c>
      <c r="L329" t="s">
        <v>4275</v>
      </c>
      <c r="M329" s="3" t="s">
        <v>4280</v>
      </c>
      <c r="N329">
        <v>359.99</v>
      </c>
    </row>
    <row r="330" spans="1:14" x14ac:dyDescent="0.35">
      <c r="A330" t="s">
        <v>342</v>
      </c>
      <c r="B330" t="s">
        <v>4569</v>
      </c>
      <c r="C330" t="s">
        <v>1542</v>
      </c>
      <c r="D330" s="3" t="s">
        <v>2405</v>
      </c>
      <c r="E330">
        <v>5</v>
      </c>
      <c r="F330">
        <v>674.04</v>
      </c>
      <c r="G330" t="s">
        <v>2684</v>
      </c>
      <c r="H330" s="3" t="s">
        <v>3066</v>
      </c>
      <c r="I330" s="3" t="s">
        <v>3071</v>
      </c>
      <c r="J330" t="s">
        <v>3403</v>
      </c>
      <c r="K330">
        <v>7</v>
      </c>
      <c r="L330" t="s">
        <v>4275</v>
      </c>
      <c r="M330" s="3" t="s">
        <v>4282</v>
      </c>
      <c r="N330">
        <v>3370.2</v>
      </c>
    </row>
    <row r="331" spans="1:14" x14ac:dyDescent="0.35">
      <c r="A331" t="s">
        <v>343</v>
      </c>
      <c r="B331" t="s">
        <v>4570</v>
      </c>
      <c r="C331" t="s">
        <v>1543</v>
      </c>
      <c r="D331" s="3" t="s">
        <v>2406</v>
      </c>
      <c r="E331">
        <v>4</v>
      </c>
      <c r="F331">
        <v>283.16000000000003</v>
      </c>
      <c r="G331" t="s">
        <v>2622</v>
      </c>
      <c r="H331" s="3" t="s">
        <v>3067</v>
      </c>
      <c r="I331" s="3" t="s">
        <v>3070</v>
      </c>
      <c r="J331" t="s">
        <v>3404</v>
      </c>
      <c r="K331">
        <v>6</v>
      </c>
      <c r="L331" t="s">
        <v>4292</v>
      </c>
      <c r="M331" s="3" t="s">
        <v>4282</v>
      </c>
      <c r="N331">
        <v>1132.6400000000001</v>
      </c>
    </row>
    <row r="332" spans="1:14" x14ac:dyDescent="0.35">
      <c r="A332" t="s">
        <v>344</v>
      </c>
      <c r="B332" t="s">
        <v>4571</v>
      </c>
      <c r="C332" t="s">
        <v>1544</v>
      </c>
      <c r="D332" s="3" t="s">
        <v>2409</v>
      </c>
      <c r="E332">
        <v>5</v>
      </c>
      <c r="F332">
        <v>260.52999999999997</v>
      </c>
      <c r="G332" t="s">
        <v>2685</v>
      </c>
      <c r="H332" s="3" t="s">
        <v>3068</v>
      </c>
      <c r="I332" s="3" t="s">
        <v>3074</v>
      </c>
      <c r="J332" t="s">
        <v>3405</v>
      </c>
      <c r="K332">
        <v>5</v>
      </c>
      <c r="L332" t="s">
        <v>4275</v>
      </c>
      <c r="M332" s="3" t="s">
        <v>4278</v>
      </c>
      <c r="N332">
        <v>1302.6500000000001</v>
      </c>
    </row>
    <row r="333" spans="1:14" x14ac:dyDescent="0.35">
      <c r="A333" t="s">
        <v>345</v>
      </c>
      <c r="B333" t="s">
        <v>4572</v>
      </c>
      <c r="C333" t="s">
        <v>1545</v>
      </c>
      <c r="D333" s="3" t="s">
        <v>2407</v>
      </c>
      <c r="E333">
        <v>3</v>
      </c>
      <c r="F333">
        <v>422.13</v>
      </c>
      <c r="G333" t="s">
        <v>2522</v>
      </c>
      <c r="H333" s="3" t="s">
        <v>3066</v>
      </c>
      <c r="I333" s="3" t="s">
        <v>3073</v>
      </c>
      <c r="J333" t="s">
        <v>3406</v>
      </c>
      <c r="K333">
        <v>7</v>
      </c>
      <c r="L333" t="s">
        <v>4275</v>
      </c>
      <c r="M333" s="3" t="s">
        <v>4281</v>
      </c>
      <c r="N333">
        <v>1266.3900000000001</v>
      </c>
    </row>
    <row r="334" spans="1:14" x14ac:dyDescent="0.35">
      <c r="A334" t="s">
        <v>346</v>
      </c>
      <c r="B334" t="s">
        <v>4573</v>
      </c>
      <c r="C334" t="s">
        <v>1546</v>
      </c>
      <c r="D334" s="3" t="s">
        <v>2409</v>
      </c>
      <c r="E334">
        <v>5</v>
      </c>
      <c r="F334">
        <v>125.02</v>
      </c>
      <c r="G334" t="s">
        <v>2686</v>
      </c>
      <c r="H334" s="3" t="s">
        <v>3065</v>
      </c>
      <c r="I334" s="3" t="s">
        <v>3074</v>
      </c>
      <c r="J334" t="s">
        <v>3407</v>
      </c>
      <c r="K334">
        <v>9</v>
      </c>
      <c r="L334" t="s">
        <v>4275</v>
      </c>
      <c r="M334" s="3" t="s">
        <v>4282</v>
      </c>
      <c r="N334">
        <v>625.1</v>
      </c>
    </row>
    <row r="335" spans="1:14" x14ac:dyDescent="0.35">
      <c r="A335" t="s">
        <v>347</v>
      </c>
      <c r="B335" t="s">
        <v>4446</v>
      </c>
      <c r="C335" t="s">
        <v>1547</v>
      </c>
      <c r="D335" s="3" t="s">
        <v>2404</v>
      </c>
      <c r="E335">
        <v>1</v>
      </c>
      <c r="F335">
        <v>198.51</v>
      </c>
      <c r="G335" t="s">
        <v>2687</v>
      </c>
      <c r="H335" s="3" t="s">
        <v>3067</v>
      </c>
      <c r="I335" s="3" t="s">
        <v>3072</v>
      </c>
      <c r="J335" t="s">
        <v>3408</v>
      </c>
      <c r="K335">
        <v>5</v>
      </c>
      <c r="L335" t="s">
        <v>4277</v>
      </c>
      <c r="M335" s="3" t="s">
        <v>4278</v>
      </c>
      <c r="N335">
        <v>198.51</v>
      </c>
    </row>
    <row r="336" spans="1:14" x14ac:dyDescent="0.35">
      <c r="A336" t="s">
        <v>348</v>
      </c>
      <c r="B336" t="s">
        <v>4574</v>
      </c>
      <c r="C336" t="s">
        <v>1548</v>
      </c>
      <c r="D336" s="3" t="s">
        <v>2406</v>
      </c>
      <c r="E336">
        <v>4</v>
      </c>
      <c r="F336">
        <v>224.75</v>
      </c>
      <c r="G336" t="s">
        <v>2688</v>
      </c>
      <c r="H336" s="3" t="s">
        <v>3066</v>
      </c>
      <c r="I336" s="3" t="s">
        <v>3073</v>
      </c>
      <c r="J336" t="s">
        <v>3409</v>
      </c>
      <c r="K336">
        <v>7</v>
      </c>
      <c r="L336" t="s">
        <v>4277</v>
      </c>
      <c r="M336" s="3" t="s">
        <v>4281</v>
      </c>
      <c r="N336">
        <v>899</v>
      </c>
    </row>
    <row r="337" spans="1:14" x14ac:dyDescent="0.35">
      <c r="A337" t="s">
        <v>349</v>
      </c>
      <c r="B337" t="s">
        <v>4575</v>
      </c>
      <c r="C337" t="s">
        <v>1549</v>
      </c>
      <c r="D337" s="3" t="s">
        <v>2405</v>
      </c>
      <c r="E337">
        <v>3</v>
      </c>
      <c r="F337">
        <v>205.86</v>
      </c>
      <c r="G337" t="s">
        <v>2674</v>
      </c>
      <c r="H337" s="3" t="s">
        <v>3068</v>
      </c>
      <c r="I337" s="3" t="s">
        <v>3070</v>
      </c>
      <c r="J337" t="s">
        <v>3410</v>
      </c>
      <c r="K337">
        <v>4</v>
      </c>
      <c r="L337" t="s">
        <v>4292</v>
      </c>
      <c r="M337" s="3" t="s">
        <v>4280</v>
      </c>
      <c r="N337">
        <v>617.58000000000004</v>
      </c>
    </row>
    <row r="338" spans="1:14" x14ac:dyDescent="0.35">
      <c r="A338" t="s">
        <v>350</v>
      </c>
      <c r="B338" t="s">
        <v>4294</v>
      </c>
      <c r="C338" t="s">
        <v>1550</v>
      </c>
      <c r="D338" s="3" t="s">
        <v>2408</v>
      </c>
      <c r="E338">
        <v>1</v>
      </c>
      <c r="F338">
        <v>18.2</v>
      </c>
      <c r="G338" t="s">
        <v>2689</v>
      </c>
      <c r="H338" s="3" t="s">
        <v>3065</v>
      </c>
      <c r="I338" s="3" t="s">
        <v>3074</v>
      </c>
      <c r="J338" t="s">
        <v>3411</v>
      </c>
      <c r="K338">
        <v>4</v>
      </c>
      <c r="L338" t="s">
        <v>4275</v>
      </c>
      <c r="M338" s="3" t="s">
        <v>4278</v>
      </c>
      <c r="N338">
        <v>18.2</v>
      </c>
    </row>
    <row r="339" spans="1:14" x14ac:dyDescent="0.35">
      <c r="A339" t="s">
        <v>351</v>
      </c>
      <c r="B339" t="s">
        <v>4576</v>
      </c>
      <c r="C339" t="s">
        <v>1551</v>
      </c>
      <c r="D339" s="3" t="s">
        <v>2405</v>
      </c>
      <c r="E339">
        <v>3</v>
      </c>
      <c r="F339">
        <v>502.77</v>
      </c>
      <c r="G339" t="s">
        <v>2690</v>
      </c>
      <c r="H339" s="3" t="s">
        <v>3065</v>
      </c>
      <c r="I339" s="3" t="s">
        <v>3072</v>
      </c>
      <c r="J339" t="s">
        <v>3412</v>
      </c>
      <c r="K339">
        <v>8</v>
      </c>
      <c r="L339" t="s">
        <v>4277</v>
      </c>
      <c r="M339" s="3" t="s">
        <v>4280</v>
      </c>
      <c r="N339">
        <v>1508.31</v>
      </c>
    </row>
    <row r="340" spans="1:14" x14ac:dyDescent="0.35">
      <c r="A340" t="s">
        <v>352</v>
      </c>
      <c r="B340" t="s">
        <v>4577</v>
      </c>
      <c r="C340" t="s">
        <v>1552</v>
      </c>
      <c r="D340" s="3" t="s">
        <v>2404</v>
      </c>
      <c r="E340">
        <v>5</v>
      </c>
      <c r="F340">
        <v>305.49</v>
      </c>
      <c r="G340" t="s">
        <v>2691</v>
      </c>
      <c r="H340" s="3" t="s">
        <v>3065</v>
      </c>
      <c r="I340" s="3" t="s">
        <v>3070</v>
      </c>
      <c r="J340" t="s">
        <v>3413</v>
      </c>
      <c r="K340">
        <v>10</v>
      </c>
      <c r="L340" t="s">
        <v>4292</v>
      </c>
      <c r="M340" s="3" t="s">
        <v>4279</v>
      </c>
      <c r="N340">
        <v>1527.45</v>
      </c>
    </row>
    <row r="341" spans="1:14" x14ac:dyDescent="0.35">
      <c r="A341" t="s">
        <v>353</v>
      </c>
      <c r="B341" t="s">
        <v>4578</v>
      </c>
      <c r="C341" t="s">
        <v>1553</v>
      </c>
      <c r="D341" s="3" t="s">
        <v>2407</v>
      </c>
      <c r="E341">
        <v>2</v>
      </c>
      <c r="F341">
        <v>236.33</v>
      </c>
      <c r="G341" t="s">
        <v>2692</v>
      </c>
      <c r="H341" s="3" t="s">
        <v>3066</v>
      </c>
      <c r="I341" s="3" t="s">
        <v>3074</v>
      </c>
      <c r="J341" t="s">
        <v>3414</v>
      </c>
      <c r="K341">
        <v>3</v>
      </c>
      <c r="L341" t="s">
        <v>4275</v>
      </c>
      <c r="M341" s="3" t="s">
        <v>4278</v>
      </c>
      <c r="N341">
        <v>472.66</v>
      </c>
    </row>
    <row r="342" spans="1:14" x14ac:dyDescent="0.35">
      <c r="A342" t="s">
        <v>354</v>
      </c>
      <c r="B342" t="s">
        <v>4579</v>
      </c>
      <c r="C342" t="s">
        <v>1554</v>
      </c>
      <c r="D342" s="3" t="s">
        <v>2408</v>
      </c>
      <c r="E342">
        <v>5</v>
      </c>
      <c r="F342">
        <v>521.25</v>
      </c>
      <c r="G342" t="s">
        <v>2693</v>
      </c>
      <c r="H342" s="3" t="s">
        <v>3069</v>
      </c>
      <c r="I342" s="3" t="s">
        <v>3071</v>
      </c>
      <c r="J342" t="s">
        <v>3415</v>
      </c>
      <c r="K342">
        <v>8</v>
      </c>
      <c r="L342" t="s">
        <v>4292</v>
      </c>
      <c r="M342" s="3" t="s">
        <v>4280</v>
      </c>
      <c r="N342">
        <v>2606.25</v>
      </c>
    </row>
    <row r="343" spans="1:14" x14ac:dyDescent="0.35">
      <c r="A343" t="s">
        <v>355</v>
      </c>
      <c r="B343" t="s">
        <v>4580</v>
      </c>
      <c r="C343" t="s">
        <v>1555</v>
      </c>
      <c r="D343" s="3" t="s">
        <v>2405</v>
      </c>
      <c r="E343">
        <v>1</v>
      </c>
      <c r="F343">
        <v>167.15</v>
      </c>
      <c r="G343" t="s">
        <v>2694</v>
      </c>
      <c r="H343" s="3" t="s">
        <v>3068</v>
      </c>
      <c r="I343" s="3" t="s">
        <v>3070</v>
      </c>
      <c r="J343" t="s">
        <v>3416</v>
      </c>
      <c r="K343">
        <v>5</v>
      </c>
      <c r="L343" t="s">
        <v>4277</v>
      </c>
      <c r="M343" s="3" t="s">
        <v>4280</v>
      </c>
      <c r="N343">
        <v>167.15</v>
      </c>
    </row>
    <row r="344" spans="1:14" x14ac:dyDescent="0.35">
      <c r="A344" t="s">
        <v>356</v>
      </c>
      <c r="B344" t="s">
        <v>4337</v>
      </c>
      <c r="C344" t="s">
        <v>1556</v>
      </c>
      <c r="D344" s="3" t="s">
        <v>2403</v>
      </c>
      <c r="E344">
        <v>5</v>
      </c>
      <c r="F344">
        <v>466.42</v>
      </c>
      <c r="G344" t="s">
        <v>2695</v>
      </c>
      <c r="H344" s="3" t="s">
        <v>3068</v>
      </c>
      <c r="I344" s="3" t="s">
        <v>3072</v>
      </c>
      <c r="J344" t="s">
        <v>3417</v>
      </c>
      <c r="K344">
        <v>5</v>
      </c>
      <c r="L344" t="s">
        <v>4292</v>
      </c>
      <c r="M344" s="3" t="s">
        <v>4279</v>
      </c>
      <c r="N344">
        <v>2332.1</v>
      </c>
    </row>
    <row r="345" spans="1:14" x14ac:dyDescent="0.35">
      <c r="A345" t="s">
        <v>357</v>
      </c>
      <c r="B345" t="s">
        <v>4581</v>
      </c>
      <c r="C345" t="s">
        <v>1557</v>
      </c>
      <c r="D345" s="3" t="s">
        <v>2407</v>
      </c>
      <c r="E345">
        <v>1</v>
      </c>
      <c r="F345">
        <v>527.57000000000005</v>
      </c>
      <c r="G345" t="s">
        <v>2696</v>
      </c>
      <c r="H345" s="3" t="s">
        <v>3065</v>
      </c>
      <c r="I345" s="3" t="s">
        <v>3074</v>
      </c>
      <c r="J345" t="s">
        <v>3418</v>
      </c>
      <c r="K345">
        <v>3</v>
      </c>
      <c r="L345" t="s">
        <v>4276</v>
      </c>
      <c r="M345" s="3" t="s">
        <v>4281</v>
      </c>
      <c r="N345">
        <v>527.57000000000005</v>
      </c>
    </row>
    <row r="346" spans="1:14" x14ac:dyDescent="0.35">
      <c r="A346" t="s">
        <v>358</v>
      </c>
      <c r="B346" t="s">
        <v>4582</v>
      </c>
      <c r="C346" t="s">
        <v>1558</v>
      </c>
      <c r="D346" s="3" t="s">
        <v>2405</v>
      </c>
      <c r="E346">
        <v>3</v>
      </c>
      <c r="F346">
        <v>623.34</v>
      </c>
      <c r="G346" t="s">
        <v>2697</v>
      </c>
      <c r="H346" s="3" t="s">
        <v>3066</v>
      </c>
      <c r="I346" s="3" t="s">
        <v>3071</v>
      </c>
      <c r="J346" t="s">
        <v>3419</v>
      </c>
      <c r="K346">
        <v>3</v>
      </c>
      <c r="L346" t="s">
        <v>4275</v>
      </c>
      <c r="M346" s="3" t="s">
        <v>4278</v>
      </c>
      <c r="N346">
        <v>1870.02</v>
      </c>
    </row>
    <row r="347" spans="1:14" x14ac:dyDescent="0.35">
      <c r="A347" t="s">
        <v>359</v>
      </c>
      <c r="B347" t="s">
        <v>4457</v>
      </c>
      <c r="C347" t="s">
        <v>1559</v>
      </c>
      <c r="D347" s="3" t="s">
        <v>2405</v>
      </c>
      <c r="E347">
        <v>5</v>
      </c>
      <c r="F347">
        <v>501.26</v>
      </c>
      <c r="G347" t="s">
        <v>2698</v>
      </c>
      <c r="H347" s="3" t="s">
        <v>3068</v>
      </c>
      <c r="I347" s="3" t="s">
        <v>3070</v>
      </c>
      <c r="J347" t="s">
        <v>3420</v>
      </c>
      <c r="K347">
        <v>10</v>
      </c>
      <c r="L347" t="s">
        <v>4276</v>
      </c>
      <c r="M347" s="3" t="s">
        <v>4279</v>
      </c>
      <c r="N347">
        <v>2506.3000000000002</v>
      </c>
    </row>
    <row r="348" spans="1:14" x14ac:dyDescent="0.35">
      <c r="A348" t="s">
        <v>360</v>
      </c>
      <c r="B348" t="s">
        <v>4583</v>
      </c>
      <c r="C348" t="s">
        <v>1560</v>
      </c>
      <c r="D348" s="3" t="s">
        <v>2405</v>
      </c>
      <c r="E348">
        <v>1</v>
      </c>
      <c r="F348">
        <v>655.09</v>
      </c>
      <c r="G348" t="s">
        <v>2699</v>
      </c>
      <c r="H348" s="3" t="s">
        <v>3069</v>
      </c>
      <c r="I348" s="3" t="s">
        <v>3074</v>
      </c>
      <c r="J348" t="s">
        <v>3421</v>
      </c>
      <c r="K348">
        <v>6</v>
      </c>
      <c r="L348" t="s">
        <v>4292</v>
      </c>
      <c r="M348" s="3" t="s">
        <v>4279</v>
      </c>
      <c r="N348">
        <v>655.09</v>
      </c>
    </row>
    <row r="349" spans="1:14" x14ac:dyDescent="0.35">
      <c r="A349" t="s">
        <v>361</v>
      </c>
      <c r="B349" t="s">
        <v>4584</v>
      </c>
      <c r="C349" t="s">
        <v>1561</v>
      </c>
      <c r="D349" s="3" t="s">
        <v>2407</v>
      </c>
      <c r="E349">
        <v>4</v>
      </c>
      <c r="F349">
        <v>264.79000000000002</v>
      </c>
      <c r="G349" t="s">
        <v>2700</v>
      </c>
      <c r="H349" s="3" t="s">
        <v>3067</v>
      </c>
      <c r="I349" s="3" t="s">
        <v>3074</v>
      </c>
      <c r="J349" t="s">
        <v>3422</v>
      </c>
      <c r="K349">
        <v>5</v>
      </c>
      <c r="L349" t="s">
        <v>4275</v>
      </c>
      <c r="M349" s="3" t="s">
        <v>4282</v>
      </c>
      <c r="N349">
        <v>1059.1600000000001</v>
      </c>
    </row>
    <row r="350" spans="1:14" x14ac:dyDescent="0.35">
      <c r="A350" t="s">
        <v>362</v>
      </c>
      <c r="B350" t="s">
        <v>4490</v>
      </c>
      <c r="C350" t="s">
        <v>1562</v>
      </c>
      <c r="D350" s="3" t="s">
        <v>2408</v>
      </c>
      <c r="E350">
        <v>3</v>
      </c>
      <c r="F350">
        <v>359.73</v>
      </c>
      <c r="G350" t="s">
        <v>2701</v>
      </c>
      <c r="H350" s="3" t="s">
        <v>3065</v>
      </c>
      <c r="I350" s="3" t="s">
        <v>3072</v>
      </c>
      <c r="J350" t="s">
        <v>3423</v>
      </c>
      <c r="K350">
        <v>7</v>
      </c>
      <c r="L350" t="s">
        <v>4276</v>
      </c>
      <c r="M350" s="3" t="s">
        <v>4280</v>
      </c>
      <c r="N350">
        <v>1079.19</v>
      </c>
    </row>
    <row r="351" spans="1:14" x14ac:dyDescent="0.35">
      <c r="A351" t="s">
        <v>363</v>
      </c>
      <c r="B351" t="s">
        <v>4399</v>
      </c>
      <c r="C351" t="s">
        <v>1563</v>
      </c>
      <c r="D351" s="3" t="s">
        <v>2406</v>
      </c>
      <c r="E351">
        <v>1</v>
      </c>
      <c r="F351">
        <v>465.33</v>
      </c>
      <c r="G351" t="s">
        <v>2702</v>
      </c>
      <c r="H351" s="3" t="s">
        <v>3068</v>
      </c>
      <c r="I351" s="3" t="s">
        <v>3073</v>
      </c>
      <c r="J351" t="s">
        <v>3424</v>
      </c>
      <c r="K351">
        <v>2</v>
      </c>
      <c r="L351" t="s">
        <v>4276</v>
      </c>
      <c r="M351" s="3" t="s">
        <v>4282</v>
      </c>
      <c r="N351">
        <v>465.33</v>
      </c>
    </row>
    <row r="352" spans="1:14" x14ac:dyDescent="0.35">
      <c r="A352" t="s">
        <v>364</v>
      </c>
      <c r="B352" t="s">
        <v>4585</v>
      </c>
      <c r="C352" t="s">
        <v>1564</v>
      </c>
      <c r="D352" s="3" t="s">
        <v>2406</v>
      </c>
      <c r="E352">
        <v>2</v>
      </c>
      <c r="F352">
        <v>54.41</v>
      </c>
      <c r="G352" t="s">
        <v>2703</v>
      </c>
      <c r="H352" s="3" t="s">
        <v>3066</v>
      </c>
      <c r="I352" s="3" t="s">
        <v>3070</v>
      </c>
      <c r="J352" t="s">
        <v>3425</v>
      </c>
      <c r="K352">
        <v>6</v>
      </c>
      <c r="L352" t="s">
        <v>4292</v>
      </c>
      <c r="M352" s="3" t="s">
        <v>4278</v>
      </c>
      <c r="N352">
        <v>108.82</v>
      </c>
    </row>
    <row r="353" spans="1:14" x14ac:dyDescent="0.35">
      <c r="A353" t="s">
        <v>365</v>
      </c>
      <c r="B353" t="s">
        <v>4586</v>
      </c>
      <c r="C353" t="s">
        <v>1565</v>
      </c>
      <c r="D353" s="3" t="s">
        <v>2408</v>
      </c>
      <c r="E353">
        <v>1</v>
      </c>
      <c r="F353">
        <v>64.66</v>
      </c>
      <c r="G353" t="s">
        <v>2704</v>
      </c>
      <c r="H353" s="3" t="s">
        <v>3065</v>
      </c>
      <c r="I353" s="3" t="s">
        <v>3073</v>
      </c>
      <c r="J353" t="s">
        <v>3426</v>
      </c>
      <c r="K353">
        <v>4</v>
      </c>
      <c r="L353" t="s">
        <v>4292</v>
      </c>
      <c r="M353" s="3" t="s">
        <v>4278</v>
      </c>
      <c r="N353">
        <v>64.66</v>
      </c>
    </row>
    <row r="354" spans="1:14" x14ac:dyDescent="0.35">
      <c r="A354" t="s">
        <v>366</v>
      </c>
      <c r="B354" t="s">
        <v>4587</v>
      </c>
      <c r="C354" t="s">
        <v>1566</v>
      </c>
      <c r="D354" s="3" t="s">
        <v>2406</v>
      </c>
      <c r="E354">
        <v>5</v>
      </c>
      <c r="F354">
        <v>173.96</v>
      </c>
      <c r="G354" t="s">
        <v>2705</v>
      </c>
      <c r="H354" s="3" t="s">
        <v>3065</v>
      </c>
      <c r="I354" s="3" t="s">
        <v>3074</v>
      </c>
      <c r="J354" t="s">
        <v>3427</v>
      </c>
      <c r="K354">
        <v>8</v>
      </c>
      <c r="L354" t="s">
        <v>4277</v>
      </c>
      <c r="M354" s="3" t="s">
        <v>4278</v>
      </c>
      <c r="N354">
        <v>869.8</v>
      </c>
    </row>
    <row r="355" spans="1:14" x14ac:dyDescent="0.35">
      <c r="A355" t="s">
        <v>367</v>
      </c>
      <c r="B355" t="s">
        <v>4494</v>
      </c>
      <c r="C355" t="s">
        <v>1567</v>
      </c>
      <c r="D355" s="3" t="s">
        <v>2405</v>
      </c>
      <c r="E355">
        <v>1</v>
      </c>
      <c r="F355">
        <v>630.82000000000005</v>
      </c>
      <c r="G355" t="s">
        <v>2706</v>
      </c>
      <c r="H355" s="3" t="s">
        <v>3066</v>
      </c>
      <c r="I355" s="3" t="s">
        <v>3073</v>
      </c>
      <c r="J355" t="s">
        <v>3428</v>
      </c>
      <c r="K355">
        <v>5</v>
      </c>
      <c r="L355" t="s">
        <v>4276</v>
      </c>
      <c r="M355" s="3" t="s">
        <v>4282</v>
      </c>
      <c r="N355">
        <v>630.82000000000005</v>
      </c>
    </row>
    <row r="356" spans="1:14" x14ac:dyDescent="0.35">
      <c r="A356" t="s">
        <v>368</v>
      </c>
      <c r="B356" t="s">
        <v>4588</v>
      </c>
      <c r="C356" t="s">
        <v>1568</v>
      </c>
      <c r="D356" s="3" t="s">
        <v>2404</v>
      </c>
      <c r="E356">
        <v>1</v>
      </c>
      <c r="F356">
        <v>693.41</v>
      </c>
      <c r="G356" t="s">
        <v>2707</v>
      </c>
      <c r="H356" s="3" t="s">
        <v>3065</v>
      </c>
      <c r="I356" s="3" t="s">
        <v>3070</v>
      </c>
      <c r="J356" t="s">
        <v>3429</v>
      </c>
      <c r="K356">
        <v>4</v>
      </c>
      <c r="L356" t="s">
        <v>4292</v>
      </c>
      <c r="M356" s="3" t="s">
        <v>4278</v>
      </c>
      <c r="N356">
        <v>693.41</v>
      </c>
    </row>
    <row r="357" spans="1:14" x14ac:dyDescent="0.35">
      <c r="A357" t="s">
        <v>369</v>
      </c>
      <c r="B357" t="s">
        <v>4589</v>
      </c>
      <c r="C357" t="s">
        <v>1569</v>
      </c>
      <c r="D357" s="3" t="s">
        <v>2405</v>
      </c>
      <c r="E357">
        <v>3</v>
      </c>
      <c r="F357">
        <v>433.33</v>
      </c>
      <c r="G357" t="s">
        <v>2708</v>
      </c>
      <c r="H357" s="3" t="s">
        <v>3067</v>
      </c>
      <c r="I357" s="3" t="s">
        <v>3071</v>
      </c>
      <c r="J357" t="s">
        <v>3430</v>
      </c>
      <c r="K357">
        <v>4</v>
      </c>
      <c r="L357" t="s">
        <v>4276</v>
      </c>
      <c r="M357" s="3" t="s">
        <v>4279</v>
      </c>
      <c r="N357">
        <v>1299.99</v>
      </c>
    </row>
    <row r="358" spans="1:14" x14ac:dyDescent="0.35">
      <c r="A358" t="s">
        <v>370</v>
      </c>
      <c r="B358" t="s">
        <v>4590</v>
      </c>
      <c r="C358" t="s">
        <v>1570</v>
      </c>
      <c r="D358" s="3" t="s">
        <v>2407</v>
      </c>
      <c r="E358">
        <v>5</v>
      </c>
      <c r="F358">
        <v>374.58</v>
      </c>
      <c r="G358" t="s">
        <v>2709</v>
      </c>
      <c r="H358" s="3" t="s">
        <v>3068</v>
      </c>
      <c r="I358" s="3" t="s">
        <v>3071</v>
      </c>
      <c r="J358" t="s">
        <v>3431</v>
      </c>
      <c r="K358">
        <v>10</v>
      </c>
      <c r="L358" t="s">
        <v>4276</v>
      </c>
      <c r="M358" s="3" t="s">
        <v>4278</v>
      </c>
      <c r="N358">
        <v>1872.9</v>
      </c>
    </row>
    <row r="359" spans="1:14" x14ac:dyDescent="0.35">
      <c r="A359" t="s">
        <v>371</v>
      </c>
      <c r="B359" t="s">
        <v>4591</v>
      </c>
      <c r="C359" t="s">
        <v>1571</v>
      </c>
      <c r="D359" s="3" t="s">
        <v>2408</v>
      </c>
      <c r="E359">
        <v>5</v>
      </c>
      <c r="F359">
        <v>408.56</v>
      </c>
      <c r="G359" t="s">
        <v>2692</v>
      </c>
      <c r="H359" s="3" t="s">
        <v>3065</v>
      </c>
      <c r="I359" s="3" t="s">
        <v>3073</v>
      </c>
      <c r="J359" t="s">
        <v>3432</v>
      </c>
      <c r="K359">
        <v>8</v>
      </c>
      <c r="L359" t="s">
        <v>4276</v>
      </c>
      <c r="M359" s="3" t="s">
        <v>4278</v>
      </c>
      <c r="N359">
        <v>2042.8</v>
      </c>
    </row>
    <row r="360" spans="1:14" x14ac:dyDescent="0.35">
      <c r="A360" t="s">
        <v>372</v>
      </c>
      <c r="B360" t="s">
        <v>4442</v>
      </c>
      <c r="C360" t="s">
        <v>1572</v>
      </c>
      <c r="D360" s="3" t="s">
        <v>2405</v>
      </c>
      <c r="E360">
        <v>2</v>
      </c>
      <c r="F360">
        <v>183.67</v>
      </c>
      <c r="G360" t="s">
        <v>2710</v>
      </c>
      <c r="H360" s="3" t="s">
        <v>3066</v>
      </c>
      <c r="I360" s="3" t="s">
        <v>3071</v>
      </c>
      <c r="J360" t="s">
        <v>3433</v>
      </c>
      <c r="K360">
        <v>3</v>
      </c>
      <c r="L360" t="s">
        <v>4275</v>
      </c>
      <c r="M360" s="3" t="s">
        <v>4282</v>
      </c>
      <c r="N360">
        <v>367.34</v>
      </c>
    </row>
    <row r="361" spans="1:14" x14ac:dyDescent="0.35">
      <c r="A361" t="s">
        <v>373</v>
      </c>
      <c r="B361" t="s">
        <v>4592</v>
      </c>
      <c r="C361" t="s">
        <v>1573</v>
      </c>
      <c r="D361" s="3" t="s">
        <v>2409</v>
      </c>
      <c r="E361">
        <v>4</v>
      </c>
      <c r="F361">
        <v>606.57000000000005</v>
      </c>
      <c r="G361" t="s">
        <v>2711</v>
      </c>
      <c r="H361" s="3" t="s">
        <v>3065</v>
      </c>
      <c r="I361" s="3" t="s">
        <v>3073</v>
      </c>
      <c r="J361" t="s">
        <v>3434</v>
      </c>
      <c r="K361">
        <v>5</v>
      </c>
      <c r="L361" t="s">
        <v>4277</v>
      </c>
      <c r="M361" s="3" t="s">
        <v>4279</v>
      </c>
      <c r="N361">
        <v>2426.2800000000002</v>
      </c>
    </row>
    <row r="362" spans="1:14" x14ac:dyDescent="0.35">
      <c r="A362" t="s">
        <v>374</v>
      </c>
      <c r="B362" t="s">
        <v>4593</v>
      </c>
      <c r="C362" t="s">
        <v>1574</v>
      </c>
      <c r="D362" s="3" t="s">
        <v>2404</v>
      </c>
      <c r="E362">
        <v>4</v>
      </c>
      <c r="F362">
        <v>589.57000000000005</v>
      </c>
      <c r="G362" t="s">
        <v>2712</v>
      </c>
      <c r="H362" s="3" t="s">
        <v>3069</v>
      </c>
      <c r="I362" s="3" t="s">
        <v>3074</v>
      </c>
      <c r="J362" t="s">
        <v>3435</v>
      </c>
      <c r="K362">
        <v>8</v>
      </c>
      <c r="L362" t="s">
        <v>4292</v>
      </c>
      <c r="M362" s="3" t="s">
        <v>4278</v>
      </c>
      <c r="N362">
        <v>2358.2800000000002</v>
      </c>
    </row>
    <row r="363" spans="1:14" x14ac:dyDescent="0.35">
      <c r="A363" t="s">
        <v>375</v>
      </c>
      <c r="B363" t="s">
        <v>4594</v>
      </c>
      <c r="C363" t="s">
        <v>1575</v>
      </c>
      <c r="D363" s="3" t="s">
        <v>2407</v>
      </c>
      <c r="E363">
        <v>5</v>
      </c>
      <c r="F363">
        <v>659.85</v>
      </c>
      <c r="G363" t="s">
        <v>2713</v>
      </c>
      <c r="H363" s="3" t="s">
        <v>3067</v>
      </c>
      <c r="I363" s="3" t="s">
        <v>3073</v>
      </c>
      <c r="J363" t="s">
        <v>3436</v>
      </c>
      <c r="K363">
        <v>9</v>
      </c>
      <c r="L363" t="s">
        <v>4275</v>
      </c>
      <c r="M363" s="3" t="s">
        <v>4281</v>
      </c>
      <c r="N363">
        <v>3299.25</v>
      </c>
    </row>
    <row r="364" spans="1:14" x14ac:dyDescent="0.35">
      <c r="A364" t="s">
        <v>376</v>
      </c>
      <c r="B364" t="s">
        <v>4362</v>
      </c>
      <c r="C364" t="s">
        <v>1576</v>
      </c>
      <c r="D364" s="3" t="s">
        <v>2403</v>
      </c>
      <c r="E364">
        <v>4</v>
      </c>
      <c r="F364">
        <v>206.84</v>
      </c>
      <c r="G364" t="s">
        <v>2714</v>
      </c>
      <c r="H364" s="3" t="s">
        <v>3069</v>
      </c>
      <c r="I364" s="3" t="s">
        <v>3071</v>
      </c>
      <c r="J364" t="s">
        <v>3437</v>
      </c>
      <c r="K364">
        <v>5</v>
      </c>
      <c r="L364" t="s">
        <v>4277</v>
      </c>
      <c r="M364" s="3" t="s">
        <v>4278</v>
      </c>
      <c r="N364">
        <v>827.36</v>
      </c>
    </row>
    <row r="365" spans="1:14" x14ac:dyDescent="0.35">
      <c r="A365" t="s">
        <v>377</v>
      </c>
      <c r="B365" t="s">
        <v>4359</v>
      </c>
      <c r="C365" t="s">
        <v>1577</v>
      </c>
      <c r="D365" s="3" t="s">
        <v>2408</v>
      </c>
      <c r="E365">
        <v>5</v>
      </c>
      <c r="F365">
        <v>113.87</v>
      </c>
      <c r="G365" t="s">
        <v>2452</v>
      </c>
      <c r="H365" s="3" t="s">
        <v>3067</v>
      </c>
      <c r="I365" s="3" t="s">
        <v>3074</v>
      </c>
      <c r="J365" t="s">
        <v>3438</v>
      </c>
      <c r="K365">
        <v>6</v>
      </c>
      <c r="L365" t="s">
        <v>4275</v>
      </c>
      <c r="M365" s="3" t="s">
        <v>4280</v>
      </c>
      <c r="N365">
        <v>569.35</v>
      </c>
    </row>
    <row r="366" spans="1:14" x14ac:dyDescent="0.35">
      <c r="A366" t="s">
        <v>378</v>
      </c>
      <c r="B366" t="s">
        <v>4538</v>
      </c>
      <c r="C366" t="s">
        <v>1578</v>
      </c>
      <c r="D366" s="3" t="s">
        <v>2404</v>
      </c>
      <c r="E366">
        <v>5</v>
      </c>
      <c r="F366">
        <v>628.74</v>
      </c>
      <c r="G366" t="s">
        <v>2650</v>
      </c>
      <c r="H366" s="3" t="s">
        <v>3069</v>
      </c>
      <c r="I366" s="3" t="s">
        <v>3071</v>
      </c>
      <c r="J366" t="s">
        <v>3439</v>
      </c>
      <c r="K366">
        <v>9</v>
      </c>
      <c r="L366" t="s">
        <v>4276</v>
      </c>
      <c r="M366" s="3" t="s">
        <v>4281</v>
      </c>
      <c r="N366">
        <v>3143.7</v>
      </c>
    </row>
    <row r="367" spans="1:14" x14ac:dyDescent="0.35">
      <c r="A367" t="s">
        <v>379</v>
      </c>
      <c r="B367" t="s">
        <v>4595</v>
      </c>
      <c r="C367" t="s">
        <v>1579</v>
      </c>
      <c r="D367" s="3" t="s">
        <v>2404</v>
      </c>
      <c r="E367">
        <v>1</v>
      </c>
      <c r="F367">
        <v>678.38</v>
      </c>
      <c r="G367" t="s">
        <v>2686</v>
      </c>
      <c r="H367" s="3" t="s">
        <v>3067</v>
      </c>
      <c r="I367" s="3" t="s">
        <v>3071</v>
      </c>
      <c r="J367" t="s">
        <v>3440</v>
      </c>
      <c r="K367">
        <v>4</v>
      </c>
      <c r="L367" t="s">
        <v>4275</v>
      </c>
      <c r="M367" s="3" t="s">
        <v>4279</v>
      </c>
      <c r="N367">
        <v>678.38</v>
      </c>
    </row>
    <row r="368" spans="1:14" x14ac:dyDescent="0.35">
      <c r="A368" t="s">
        <v>380</v>
      </c>
      <c r="B368" t="s">
        <v>4596</v>
      </c>
      <c r="C368" t="s">
        <v>1580</v>
      </c>
      <c r="D368" s="3" t="s">
        <v>2407</v>
      </c>
      <c r="E368">
        <v>3</v>
      </c>
      <c r="F368">
        <v>602.24</v>
      </c>
      <c r="G368" t="s">
        <v>2715</v>
      </c>
      <c r="H368" s="3" t="s">
        <v>3065</v>
      </c>
      <c r="I368" s="3" t="s">
        <v>3074</v>
      </c>
      <c r="J368" t="s">
        <v>3441</v>
      </c>
      <c r="K368">
        <v>8</v>
      </c>
      <c r="L368" t="s">
        <v>4292</v>
      </c>
      <c r="M368" s="3" t="s">
        <v>4279</v>
      </c>
      <c r="N368">
        <v>1806.72</v>
      </c>
    </row>
    <row r="369" spans="1:14" x14ac:dyDescent="0.35">
      <c r="A369" t="s">
        <v>381</v>
      </c>
      <c r="B369" t="s">
        <v>4597</v>
      </c>
      <c r="C369" t="s">
        <v>1581</v>
      </c>
      <c r="D369" s="3" t="s">
        <v>2408</v>
      </c>
      <c r="E369">
        <v>5</v>
      </c>
      <c r="F369">
        <v>658.77</v>
      </c>
      <c r="G369" t="s">
        <v>2630</v>
      </c>
      <c r="H369" s="3" t="s">
        <v>3068</v>
      </c>
      <c r="I369" s="3" t="s">
        <v>3074</v>
      </c>
      <c r="J369" t="s">
        <v>3442</v>
      </c>
      <c r="K369">
        <v>10</v>
      </c>
      <c r="L369" t="s">
        <v>4276</v>
      </c>
      <c r="M369" s="3" t="s">
        <v>4278</v>
      </c>
      <c r="N369">
        <v>3293.85</v>
      </c>
    </row>
    <row r="370" spans="1:14" x14ac:dyDescent="0.35">
      <c r="A370" t="s">
        <v>382</v>
      </c>
      <c r="B370" t="s">
        <v>4315</v>
      </c>
      <c r="C370" t="s">
        <v>1582</v>
      </c>
      <c r="D370" s="3" t="s">
        <v>2403</v>
      </c>
      <c r="E370">
        <v>3</v>
      </c>
      <c r="F370">
        <v>271.02</v>
      </c>
      <c r="G370" t="s">
        <v>2716</v>
      </c>
      <c r="H370" s="3" t="s">
        <v>3067</v>
      </c>
      <c r="I370" s="3" t="s">
        <v>3071</v>
      </c>
      <c r="J370" t="s">
        <v>3443</v>
      </c>
      <c r="K370">
        <v>6</v>
      </c>
      <c r="L370" t="s">
        <v>4292</v>
      </c>
      <c r="M370" s="3" t="s">
        <v>4282</v>
      </c>
      <c r="N370">
        <v>813.06</v>
      </c>
    </row>
    <row r="371" spans="1:14" x14ac:dyDescent="0.35">
      <c r="A371" t="s">
        <v>383</v>
      </c>
      <c r="B371" t="s">
        <v>4354</v>
      </c>
      <c r="C371" t="s">
        <v>1583</v>
      </c>
      <c r="D371" s="3" t="s">
        <v>2403</v>
      </c>
      <c r="E371">
        <v>5</v>
      </c>
      <c r="F371">
        <v>375.25</v>
      </c>
      <c r="G371" t="s">
        <v>2717</v>
      </c>
      <c r="H371" s="3" t="s">
        <v>3068</v>
      </c>
      <c r="I371" s="3" t="s">
        <v>3074</v>
      </c>
      <c r="J371" t="s">
        <v>3444</v>
      </c>
      <c r="K371">
        <v>9</v>
      </c>
      <c r="L371" t="s">
        <v>4275</v>
      </c>
      <c r="M371" s="3" t="s">
        <v>4280</v>
      </c>
      <c r="N371">
        <v>1876.25</v>
      </c>
    </row>
    <row r="372" spans="1:14" x14ac:dyDescent="0.35">
      <c r="A372" t="s">
        <v>384</v>
      </c>
      <c r="B372" t="s">
        <v>4404</v>
      </c>
      <c r="C372" t="s">
        <v>1584</v>
      </c>
      <c r="D372" s="3" t="s">
        <v>2404</v>
      </c>
      <c r="E372">
        <v>1</v>
      </c>
      <c r="F372">
        <v>312.11</v>
      </c>
      <c r="G372" t="s">
        <v>2718</v>
      </c>
      <c r="H372" s="3" t="s">
        <v>3066</v>
      </c>
      <c r="I372" s="3" t="s">
        <v>3071</v>
      </c>
      <c r="J372" t="s">
        <v>3445</v>
      </c>
      <c r="K372">
        <v>4</v>
      </c>
      <c r="L372" t="s">
        <v>4277</v>
      </c>
      <c r="M372" s="3" t="s">
        <v>4281</v>
      </c>
      <c r="N372">
        <v>312.11</v>
      </c>
    </row>
    <row r="373" spans="1:14" x14ac:dyDescent="0.35">
      <c r="A373" t="s">
        <v>385</v>
      </c>
      <c r="B373" t="s">
        <v>4598</v>
      </c>
      <c r="C373" t="s">
        <v>1585</v>
      </c>
      <c r="D373" s="3" t="s">
        <v>2404</v>
      </c>
      <c r="E373">
        <v>5</v>
      </c>
      <c r="F373">
        <v>307.76</v>
      </c>
      <c r="G373" t="s">
        <v>2422</v>
      </c>
      <c r="H373" s="3" t="s">
        <v>3068</v>
      </c>
      <c r="I373" s="3" t="s">
        <v>3074</v>
      </c>
      <c r="J373" t="s">
        <v>3446</v>
      </c>
      <c r="K373">
        <v>9</v>
      </c>
      <c r="L373" t="s">
        <v>4276</v>
      </c>
      <c r="M373" s="3" t="s">
        <v>4282</v>
      </c>
      <c r="N373">
        <v>1538.8</v>
      </c>
    </row>
    <row r="374" spans="1:14" x14ac:dyDescent="0.35">
      <c r="A374" t="s">
        <v>386</v>
      </c>
      <c r="B374" t="s">
        <v>4595</v>
      </c>
      <c r="C374" t="s">
        <v>1586</v>
      </c>
      <c r="D374" s="3" t="s">
        <v>2406</v>
      </c>
      <c r="E374">
        <v>3</v>
      </c>
      <c r="F374">
        <v>483.53</v>
      </c>
      <c r="G374" t="s">
        <v>2719</v>
      </c>
      <c r="H374" s="3" t="s">
        <v>3069</v>
      </c>
      <c r="I374" s="3" t="s">
        <v>3072</v>
      </c>
      <c r="J374" t="s">
        <v>3447</v>
      </c>
      <c r="K374">
        <v>4</v>
      </c>
      <c r="L374" t="s">
        <v>4292</v>
      </c>
      <c r="M374" s="3" t="s">
        <v>4279</v>
      </c>
      <c r="N374">
        <v>1450.59</v>
      </c>
    </row>
    <row r="375" spans="1:14" x14ac:dyDescent="0.35">
      <c r="A375" t="s">
        <v>387</v>
      </c>
      <c r="B375" t="s">
        <v>4599</v>
      </c>
      <c r="C375" t="s">
        <v>1587</v>
      </c>
      <c r="D375" s="3" t="s">
        <v>2408</v>
      </c>
      <c r="E375">
        <v>3</v>
      </c>
      <c r="F375">
        <v>341.15</v>
      </c>
      <c r="G375" t="s">
        <v>2720</v>
      </c>
      <c r="H375" s="3" t="s">
        <v>3069</v>
      </c>
      <c r="I375" s="3" t="s">
        <v>3074</v>
      </c>
      <c r="J375" t="s">
        <v>3448</v>
      </c>
      <c r="K375">
        <v>4</v>
      </c>
      <c r="L375" t="s">
        <v>4276</v>
      </c>
      <c r="M375" s="3" t="s">
        <v>4278</v>
      </c>
      <c r="N375">
        <v>1023.45</v>
      </c>
    </row>
    <row r="376" spans="1:14" x14ac:dyDescent="0.35">
      <c r="A376" t="s">
        <v>388</v>
      </c>
      <c r="B376" t="s">
        <v>4600</v>
      </c>
      <c r="C376" t="s">
        <v>1588</v>
      </c>
      <c r="D376" s="3" t="s">
        <v>2403</v>
      </c>
      <c r="E376">
        <v>1</v>
      </c>
      <c r="F376">
        <v>571.9</v>
      </c>
      <c r="G376" t="s">
        <v>2477</v>
      </c>
      <c r="H376" s="3" t="s">
        <v>3068</v>
      </c>
      <c r="I376" s="3" t="s">
        <v>3074</v>
      </c>
      <c r="J376" t="s">
        <v>3449</v>
      </c>
      <c r="K376">
        <v>1</v>
      </c>
      <c r="L376" t="s">
        <v>4277</v>
      </c>
      <c r="M376" s="3" t="s">
        <v>4278</v>
      </c>
      <c r="N376">
        <v>571.9</v>
      </c>
    </row>
    <row r="377" spans="1:14" x14ac:dyDescent="0.35">
      <c r="A377" t="s">
        <v>389</v>
      </c>
      <c r="B377" t="s">
        <v>4601</v>
      </c>
      <c r="C377" t="s">
        <v>1589</v>
      </c>
      <c r="D377" s="3" t="s">
        <v>2403</v>
      </c>
      <c r="E377">
        <v>4</v>
      </c>
      <c r="F377">
        <v>95.03</v>
      </c>
      <c r="G377" t="s">
        <v>2721</v>
      </c>
      <c r="H377" s="3" t="s">
        <v>3066</v>
      </c>
      <c r="I377" s="3" t="s">
        <v>3070</v>
      </c>
      <c r="J377" t="s">
        <v>3450</v>
      </c>
      <c r="K377">
        <v>8</v>
      </c>
      <c r="L377" t="s">
        <v>4276</v>
      </c>
      <c r="M377" s="3" t="s">
        <v>4281</v>
      </c>
      <c r="N377">
        <v>380.12</v>
      </c>
    </row>
    <row r="378" spans="1:14" x14ac:dyDescent="0.35">
      <c r="A378" t="s">
        <v>390</v>
      </c>
      <c r="B378" t="s">
        <v>4602</v>
      </c>
      <c r="C378" t="s">
        <v>1590</v>
      </c>
      <c r="D378" s="3" t="s">
        <v>2403</v>
      </c>
      <c r="E378">
        <v>5</v>
      </c>
      <c r="F378">
        <v>201.22</v>
      </c>
      <c r="G378" t="s">
        <v>2722</v>
      </c>
      <c r="H378" s="3" t="s">
        <v>3065</v>
      </c>
      <c r="I378" s="3" t="s">
        <v>3074</v>
      </c>
      <c r="J378" t="s">
        <v>3451</v>
      </c>
      <c r="K378">
        <v>6</v>
      </c>
      <c r="L378" t="s">
        <v>4276</v>
      </c>
      <c r="M378" s="3" t="s">
        <v>4281</v>
      </c>
      <c r="N378">
        <v>1006.1</v>
      </c>
    </row>
    <row r="379" spans="1:14" x14ac:dyDescent="0.35">
      <c r="A379" t="s">
        <v>391</v>
      </c>
      <c r="B379" t="s">
        <v>4603</v>
      </c>
      <c r="C379" t="s">
        <v>1591</v>
      </c>
      <c r="D379" s="3" t="s">
        <v>2403</v>
      </c>
      <c r="E379">
        <v>1</v>
      </c>
      <c r="F379">
        <v>260.26</v>
      </c>
      <c r="G379" t="s">
        <v>2671</v>
      </c>
      <c r="H379" s="3" t="s">
        <v>3066</v>
      </c>
      <c r="I379" s="3" t="s">
        <v>3074</v>
      </c>
      <c r="J379" t="s">
        <v>3452</v>
      </c>
      <c r="K379">
        <v>5</v>
      </c>
      <c r="L379" t="s">
        <v>4277</v>
      </c>
      <c r="M379" s="3" t="s">
        <v>4278</v>
      </c>
      <c r="N379">
        <v>260.26</v>
      </c>
    </row>
    <row r="380" spans="1:14" x14ac:dyDescent="0.35">
      <c r="A380" t="s">
        <v>392</v>
      </c>
      <c r="B380" t="s">
        <v>4604</v>
      </c>
      <c r="C380" t="s">
        <v>1592</v>
      </c>
      <c r="D380" s="3" t="s">
        <v>2406</v>
      </c>
      <c r="E380">
        <v>5</v>
      </c>
      <c r="F380">
        <v>64.5</v>
      </c>
      <c r="G380" t="s">
        <v>2723</v>
      </c>
      <c r="H380" s="3" t="s">
        <v>3067</v>
      </c>
      <c r="I380" s="3" t="s">
        <v>3074</v>
      </c>
      <c r="J380" t="s">
        <v>3453</v>
      </c>
      <c r="K380">
        <v>8</v>
      </c>
      <c r="L380" t="s">
        <v>4277</v>
      </c>
      <c r="M380" s="3" t="s">
        <v>4278</v>
      </c>
      <c r="N380">
        <v>322.5</v>
      </c>
    </row>
    <row r="381" spans="1:14" x14ac:dyDescent="0.35">
      <c r="A381" t="s">
        <v>393</v>
      </c>
      <c r="B381" t="s">
        <v>4605</v>
      </c>
      <c r="C381" t="s">
        <v>1593</v>
      </c>
      <c r="D381" s="3" t="s">
        <v>2404</v>
      </c>
      <c r="E381">
        <v>3</v>
      </c>
      <c r="F381">
        <v>297.67</v>
      </c>
      <c r="G381" t="s">
        <v>2571</v>
      </c>
      <c r="H381" s="3" t="s">
        <v>3066</v>
      </c>
      <c r="I381" s="3" t="s">
        <v>3070</v>
      </c>
      <c r="J381" t="s">
        <v>3454</v>
      </c>
      <c r="K381">
        <v>6</v>
      </c>
      <c r="L381" t="s">
        <v>4292</v>
      </c>
      <c r="M381" s="3" t="s">
        <v>4282</v>
      </c>
      <c r="N381">
        <v>893.01</v>
      </c>
    </row>
    <row r="382" spans="1:14" x14ac:dyDescent="0.35">
      <c r="A382" t="s">
        <v>394</v>
      </c>
      <c r="B382" t="s">
        <v>4606</v>
      </c>
      <c r="C382" t="s">
        <v>1594</v>
      </c>
      <c r="D382" s="3" t="s">
        <v>2407</v>
      </c>
      <c r="E382">
        <v>4</v>
      </c>
      <c r="F382">
        <v>331.9</v>
      </c>
      <c r="G382" t="s">
        <v>2640</v>
      </c>
      <c r="H382" s="3" t="s">
        <v>3069</v>
      </c>
      <c r="I382" s="3" t="s">
        <v>3074</v>
      </c>
      <c r="J382" t="s">
        <v>3455</v>
      </c>
      <c r="K382">
        <v>5</v>
      </c>
      <c r="L382" t="s">
        <v>4275</v>
      </c>
      <c r="M382" s="3" t="s">
        <v>4278</v>
      </c>
      <c r="N382">
        <v>1327.6</v>
      </c>
    </row>
    <row r="383" spans="1:14" x14ac:dyDescent="0.35">
      <c r="A383" t="s">
        <v>395</v>
      </c>
      <c r="B383" t="s">
        <v>4607</v>
      </c>
      <c r="C383" t="s">
        <v>1595</v>
      </c>
      <c r="D383" s="3" t="s">
        <v>2406</v>
      </c>
      <c r="E383">
        <v>1</v>
      </c>
      <c r="F383">
        <v>191.76</v>
      </c>
      <c r="G383" t="s">
        <v>2454</v>
      </c>
      <c r="H383" s="3" t="s">
        <v>3067</v>
      </c>
      <c r="I383" s="3" t="s">
        <v>3072</v>
      </c>
      <c r="J383" t="s">
        <v>3456</v>
      </c>
      <c r="K383">
        <v>1</v>
      </c>
      <c r="L383" t="s">
        <v>4276</v>
      </c>
      <c r="M383" s="3" t="s">
        <v>4278</v>
      </c>
      <c r="N383">
        <v>191.76</v>
      </c>
    </row>
    <row r="384" spans="1:14" x14ac:dyDescent="0.35">
      <c r="A384" t="s">
        <v>396</v>
      </c>
      <c r="B384" t="s">
        <v>4608</v>
      </c>
      <c r="C384" t="s">
        <v>1596</v>
      </c>
      <c r="D384" s="3" t="s">
        <v>2407</v>
      </c>
      <c r="E384">
        <v>4</v>
      </c>
      <c r="F384">
        <v>263.08999999999997</v>
      </c>
      <c r="G384" t="s">
        <v>2724</v>
      </c>
      <c r="H384" s="3" t="s">
        <v>3065</v>
      </c>
      <c r="I384" s="3" t="s">
        <v>3070</v>
      </c>
      <c r="J384" t="s">
        <v>3457</v>
      </c>
      <c r="K384">
        <v>8</v>
      </c>
      <c r="L384" t="s">
        <v>4275</v>
      </c>
      <c r="M384" s="3" t="s">
        <v>4282</v>
      </c>
      <c r="N384">
        <v>1052.3599999999999</v>
      </c>
    </row>
    <row r="385" spans="1:14" x14ac:dyDescent="0.35">
      <c r="A385" t="s">
        <v>397</v>
      </c>
      <c r="B385" t="s">
        <v>4609</v>
      </c>
      <c r="C385" t="s">
        <v>1597</v>
      </c>
      <c r="D385" s="3" t="s">
        <v>2406</v>
      </c>
      <c r="E385">
        <v>4</v>
      </c>
      <c r="F385">
        <v>393.8</v>
      </c>
      <c r="G385" t="s">
        <v>2497</v>
      </c>
      <c r="H385" s="3" t="s">
        <v>3067</v>
      </c>
      <c r="I385" s="3" t="s">
        <v>3074</v>
      </c>
      <c r="J385" t="s">
        <v>3458</v>
      </c>
      <c r="K385">
        <v>7</v>
      </c>
      <c r="L385" t="s">
        <v>4275</v>
      </c>
      <c r="M385" s="3" t="s">
        <v>4280</v>
      </c>
      <c r="N385">
        <v>1575.2</v>
      </c>
    </row>
    <row r="386" spans="1:14" x14ac:dyDescent="0.35">
      <c r="A386" t="s">
        <v>398</v>
      </c>
      <c r="B386" t="s">
        <v>4451</v>
      </c>
      <c r="C386" t="s">
        <v>1598</v>
      </c>
      <c r="D386" s="3" t="s">
        <v>2406</v>
      </c>
      <c r="E386">
        <v>3</v>
      </c>
      <c r="F386">
        <v>553.57000000000005</v>
      </c>
      <c r="G386" t="s">
        <v>2725</v>
      </c>
      <c r="H386" s="3" t="s">
        <v>3067</v>
      </c>
      <c r="I386" s="3" t="s">
        <v>3072</v>
      </c>
      <c r="J386" t="s">
        <v>3459</v>
      </c>
      <c r="K386">
        <v>4</v>
      </c>
      <c r="L386" t="s">
        <v>4276</v>
      </c>
      <c r="M386" s="3" t="s">
        <v>4281</v>
      </c>
      <c r="N386">
        <v>1660.71</v>
      </c>
    </row>
    <row r="387" spans="1:14" x14ac:dyDescent="0.35">
      <c r="A387" t="s">
        <v>399</v>
      </c>
      <c r="B387" t="s">
        <v>4434</v>
      </c>
      <c r="C387" t="s">
        <v>1599</v>
      </c>
      <c r="D387" s="3" t="s">
        <v>2406</v>
      </c>
      <c r="E387">
        <v>5</v>
      </c>
      <c r="F387">
        <v>191.63</v>
      </c>
      <c r="G387" t="s">
        <v>2470</v>
      </c>
      <c r="H387" s="3" t="s">
        <v>3068</v>
      </c>
      <c r="I387" s="3" t="s">
        <v>3073</v>
      </c>
      <c r="J387" t="s">
        <v>3460</v>
      </c>
      <c r="K387">
        <v>6</v>
      </c>
      <c r="L387" t="s">
        <v>4276</v>
      </c>
      <c r="M387" s="3" t="s">
        <v>4281</v>
      </c>
      <c r="N387">
        <v>958.15</v>
      </c>
    </row>
    <row r="388" spans="1:14" x14ac:dyDescent="0.35">
      <c r="A388" t="s">
        <v>400</v>
      </c>
      <c r="B388" t="s">
        <v>4484</v>
      </c>
      <c r="C388" t="s">
        <v>1600</v>
      </c>
      <c r="D388" s="3" t="s">
        <v>2405</v>
      </c>
      <c r="E388">
        <v>1</v>
      </c>
      <c r="F388">
        <v>93.02</v>
      </c>
      <c r="G388" t="s">
        <v>2726</v>
      </c>
      <c r="H388" s="3" t="s">
        <v>3066</v>
      </c>
      <c r="I388" s="3" t="s">
        <v>3072</v>
      </c>
      <c r="J388" t="s">
        <v>3461</v>
      </c>
      <c r="K388">
        <v>4</v>
      </c>
      <c r="L388" t="s">
        <v>4292</v>
      </c>
      <c r="M388" s="3" t="s">
        <v>4280</v>
      </c>
      <c r="N388">
        <v>93.02</v>
      </c>
    </row>
    <row r="389" spans="1:14" x14ac:dyDescent="0.35">
      <c r="A389" t="s">
        <v>401</v>
      </c>
      <c r="B389" t="s">
        <v>4610</v>
      </c>
      <c r="C389" t="s">
        <v>1601</v>
      </c>
      <c r="D389" s="3" t="s">
        <v>2407</v>
      </c>
      <c r="E389">
        <v>2</v>
      </c>
      <c r="F389">
        <v>39.53</v>
      </c>
      <c r="G389" t="s">
        <v>2418</v>
      </c>
      <c r="H389" s="3" t="s">
        <v>3067</v>
      </c>
      <c r="I389" s="3" t="s">
        <v>3070</v>
      </c>
      <c r="J389" t="s">
        <v>3462</v>
      </c>
      <c r="K389">
        <v>3</v>
      </c>
      <c r="L389" t="s">
        <v>4277</v>
      </c>
      <c r="M389" s="3" t="s">
        <v>4282</v>
      </c>
      <c r="N389">
        <v>79.06</v>
      </c>
    </row>
    <row r="390" spans="1:14" x14ac:dyDescent="0.35">
      <c r="A390" t="s">
        <v>402</v>
      </c>
      <c r="B390" t="s">
        <v>4437</v>
      </c>
      <c r="C390" t="s">
        <v>1602</v>
      </c>
      <c r="D390" s="3" t="s">
        <v>2407</v>
      </c>
      <c r="E390">
        <v>3</v>
      </c>
      <c r="F390">
        <v>633.97</v>
      </c>
      <c r="G390" t="s">
        <v>2504</v>
      </c>
      <c r="H390" s="3" t="s">
        <v>3069</v>
      </c>
      <c r="I390" s="3" t="s">
        <v>3074</v>
      </c>
      <c r="J390" t="s">
        <v>3463</v>
      </c>
      <c r="K390">
        <v>7</v>
      </c>
      <c r="L390" t="s">
        <v>4277</v>
      </c>
      <c r="M390" s="3" t="s">
        <v>4281</v>
      </c>
      <c r="N390">
        <v>1901.91</v>
      </c>
    </row>
    <row r="391" spans="1:14" x14ac:dyDescent="0.35">
      <c r="A391" t="s">
        <v>403</v>
      </c>
      <c r="B391" t="s">
        <v>4611</v>
      </c>
      <c r="C391" t="s">
        <v>1603</v>
      </c>
      <c r="D391" s="3" t="s">
        <v>2409</v>
      </c>
      <c r="E391">
        <v>4</v>
      </c>
      <c r="F391">
        <v>697.5</v>
      </c>
      <c r="G391" t="s">
        <v>2727</v>
      </c>
      <c r="H391" s="3" t="s">
        <v>3069</v>
      </c>
      <c r="I391" s="3" t="s">
        <v>3070</v>
      </c>
      <c r="J391" t="s">
        <v>3464</v>
      </c>
      <c r="K391">
        <v>7</v>
      </c>
      <c r="L391" t="s">
        <v>4276</v>
      </c>
      <c r="M391" s="3" t="s">
        <v>4279</v>
      </c>
      <c r="N391">
        <v>2790</v>
      </c>
    </row>
    <row r="392" spans="1:14" x14ac:dyDescent="0.35">
      <c r="A392" t="s">
        <v>404</v>
      </c>
      <c r="B392" t="s">
        <v>4612</v>
      </c>
      <c r="C392" t="s">
        <v>1604</v>
      </c>
      <c r="D392" s="3" t="s">
        <v>2407</v>
      </c>
      <c r="E392">
        <v>5</v>
      </c>
      <c r="F392">
        <v>508.69</v>
      </c>
      <c r="G392" t="s">
        <v>2701</v>
      </c>
      <c r="H392" s="3" t="s">
        <v>3069</v>
      </c>
      <c r="I392" s="3" t="s">
        <v>3073</v>
      </c>
      <c r="J392" t="s">
        <v>3465</v>
      </c>
      <c r="K392">
        <v>10</v>
      </c>
      <c r="L392" t="s">
        <v>4276</v>
      </c>
      <c r="M392" s="3" t="s">
        <v>4282</v>
      </c>
      <c r="N392">
        <v>2543.4499999999998</v>
      </c>
    </row>
    <row r="393" spans="1:14" x14ac:dyDescent="0.35">
      <c r="A393" t="s">
        <v>405</v>
      </c>
      <c r="B393" t="s">
        <v>4601</v>
      </c>
      <c r="C393" t="s">
        <v>1605</v>
      </c>
      <c r="D393" s="3" t="s">
        <v>2408</v>
      </c>
      <c r="E393">
        <v>2</v>
      </c>
      <c r="F393">
        <v>527.46</v>
      </c>
      <c r="G393" t="s">
        <v>2654</v>
      </c>
      <c r="H393" s="3" t="s">
        <v>3065</v>
      </c>
      <c r="I393" s="3" t="s">
        <v>3071</v>
      </c>
      <c r="J393" t="s">
        <v>3466</v>
      </c>
      <c r="K393">
        <v>3</v>
      </c>
      <c r="L393" t="s">
        <v>4276</v>
      </c>
      <c r="M393" s="3" t="s">
        <v>4279</v>
      </c>
      <c r="N393">
        <v>1054.92</v>
      </c>
    </row>
    <row r="394" spans="1:14" x14ac:dyDescent="0.35">
      <c r="A394" t="s">
        <v>406</v>
      </c>
      <c r="B394" t="s">
        <v>4613</v>
      </c>
      <c r="C394" t="s">
        <v>1606</v>
      </c>
      <c r="D394" s="3" t="s">
        <v>2404</v>
      </c>
      <c r="E394">
        <v>1</v>
      </c>
      <c r="F394">
        <v>627.20000000000005</v>
      </c>
      <c r="G394" t="s">
        <v>2713</v>
      </c>
      <c r="H394" s="3" t="s">
        <v>3066</v>
      </c>
      <c r="I394" s="3" t="s">
        <v>3073</v>
      </c>
      <c r="J394" t="s">
        <v>3467</v>
      </c>
      <c r="K394">
        <v>1</v>
      </c>
      <c r="L394" t="s">
        <v>4277</v>
      </c>
      <c r="M394" s="3" t="s">
        <v>4280</v>
      </c>
      <c r="N394">
        <v>627.20000000000005</v>
      </c>
    </row>
    <row r="395" spans="1:14" x14ac:dyDescent="0.35">
      <c r="A395" t="s">
        <v>407</v>
      </c>
      <c r="B395" t="s">
        <v>4614</v>
      </c>
      <c r="C395" t="s">
        <v>1607</v>
      </c>
      <c r="D395" s="3" t="s">
        <v>2407</v>
      </c>
      <c r="E395">
        <v>1</v>
      </c>
      <c r="F395">
        <v>75.010000000000005</v>
      </c>
      <c r="G395" t="s">
        <v>2728</v>
      </c>
      <c r="H395" s="3" t="s">
        <v>3067</v>
      </c>
      <c r="I395" s="3" t="s">
        <v>3072</v>
      </c>
      <c r="J395" t="s">
        <v>3468</v>
      </c>
      <c r="K395">
        <v>3</v>
      </c>
      <c r="L395" t="s">
        <v>4292</v>
      </c>
      <c r="M395" s="3" t="s">
        <v>4282</v>
      </c>
      <c r="N395">
        <v>75.010000000000005</v>
      </c>
    </row>
    <row r="396" spans="1:14" x14ac:dyDescent="0.35">
      <c r="A396" t="s">
        <v>408</v>
      </c>
      <c r="B396" t="s">
        <v>4460</v>
      </c>
      <c r="C396" t="s">
        <v>1608</v>
      </c>
      <c r="D396" s="3" t="s">
        <v>2409</v>
      </c>
      <c r="E396">
        <v>5</v>
      </c>
      <c r="F396">
        <v>529.54999999999995</v>
      </c>
      <c r="G396" t="s">
        <v>2729</v>
      </c>
      <c r="H396" s="3" t="s">
        <v>3068</v>
      </c>
      <c r="I396" s="3" t="s">
        <v>3070</v>
      </c>
      <c r="J396" t="s">
        <v>3469</v>
      </c>
      <c r="K396">
        <v>10</v>
      </c>
      <c r="L396" t="s">
        <v>4292</v>
      </c>
      <c r="M396" s="3" t="s">
        <v>4281</v>
      </c>
      <c r="N396">
        <v>2647.75</v>
      </c>
    </row>
    <row r="397" spans="1:14" x14ac:dyDescent="0.35">
      <c r="A397" t="s">
        <v>409</v>
      </c>
      <c r="B397" t="s">
        <v>4615</v>
      </c>
      <c r="C397" t="s">
        <v>1609</v>
      </c>
      <c r="D397" s="3" t="s">
        <v>2404</v>
      </c>
      <c r="E397">
        <v>3</v>
      </c>
      <c r="F397">
        <v>127.41</v>
      </c>
      <c r="G397" t="s">
        <v>2442</v>
      </c>
      <c r="H397" s="3" t="s">
        <v>3068</v>
      </c>
      <c r="I397" s="3" t="s">
        <v>3073</v>
      </c>
      <c r="J397" t="s">
        <v>3470</v>
      </c>
      <c r="K397">
        <v>7</v>
      </c>
      <c r="L397" t="s">
        <v>4275</v>
      </c>
      <c r="M397" s="3" t="s">
        <v>4279</v>
      </c>
      <c r="N397">
        <v>382.23</v>
      </c>
    </row>
    <row r="398" spans="1:14" x14ac:dyDescent="0.35">
      <c r="A398" t="s">
        <v>410</v>
      </c>
      <c r="B398" t="s">
        <v>4426</v>
      </c>
      <c r="C398" t="s">
        <v>1610</v>
      </c>
      <c r="D398" s="3" t="s">
        <v>2405</v>
      </c>
      <c r="E398">
        <v>5</v>
      </c>
      <c r="F398">
        <v>287.13</v>
      </c>
      <c r="G398" t="s">
        <v>2730</v>
      </c>
      <c r="H398" s="3" t="s">
        <v>3066</v>
      </c>
      <c r="I398" s="3" t="s">
        <v>3070</v>
      </c>
      <c r="J398" t="s">
        <v>3471</v>
      </c>
      <c r="K398">
        <v>10</v>
      </c>
      <c r="L398" t="s">
        <v>4275</v>
      </c>
      <c r="M398" s="3" t="s">
        <v>4280</v>
      </c>
      <c r="N398">
        <v>1435.65</v>
      </c>
    </row>
    <row r="399" spans="1:14" x14ac:dyDescent="0.35">
      <c r="A399" t="s">
        <v>411</v>
      </c>
      <c r="B399" t="s">
        <v>4616</v>
      </c>
      <c r="C399" t="s">
        <v>1611</v>
      </c>
      <c r="D399" s="3" t="s">
        <v>2403</v>
      </c>
      <c r="E399">
        <v>1</v>
      </c>
      <c r="F399">
        <v>427.06</v>
      </c>
      <c r="G399" t="s">
        <v>2731</v>
      </c>
      <c r="H399" s="3" t="s">
        <v>3066</v>
      </c>
      <c r="I399" s="3" t="s">
        <v>3071</v>
      </c>
      <c r="J399" t="s">
        <v>3472</v>
      </c>
      <c r="K399">
        <v>1</v>
      </c>
      <c r="L399" t="s">
        <v>4277</v>
      </c>
      <c r="M399" s="3" t="s">
        <v>4279</v>
      </c>
      <c r="N399">
        <v>427.06</v>
      </c>
    </row>
    <row r="400" spans="1:14" x14ac:dyDescent="0.35">
      <c r="A400" t="s">
        <v>412</v>
      </c>
      <c r="B400" t="s">
        <v>4617</v>
      </c>
      <c r="C400" t="s">
        <v>1612</v>
      </c>
      <c r="D400" s="3" t="s">
        <v>2404</v>
      </c>
      <c r="E400">
        <v>5</v>
      </c>
      <c r="F400">
        <v>53.93</v>
      </c>
      <c r="G400" t="s">
        <v>2592</v>
      </c>
      <c r="H400" s="3" t="s">
        <v>3068</v>
      </c>
      <c r="I400" s="3" t="s">
        <v>3070</v>
      </c>
      <c r="J400" t="s">
        <v>3473</v>
      </c>
      <c r="K400">
        <v>7</v>
      </c>
      <c r="L400" t="s">
        <v>4275</v>
      </c>
      <c r="M400" s="3" t="s">
        <v>4278</v>
      </c>
      <c r="N400">
        <v>269.64999999999998</v>
      </c>
    </row>
    <row r="401" spans="1:14" x14ac:dyDescent="0.35">
      <c r="A401" t="s">
        <v>413</v>
      </c>
      <c r="B401" t="s">
        <v>4618</v>
      </c>
      <c r="C401" t="s">
        <v>1613</v>
      </c>
      <c r="D401" s="3" t="s">
        <v>2405</v>
      </c>
      <c r="E401">
        <v>5</v>
      </c>
      <c r="F401">
        <v>423.93</v>
      </c>
      <c r="G401" t="s">
        <v>2732</v>
      </c>
      <c r="H401" s="3" t="s">
        <v>3065</v>
      </c>
      <c r="I401" s="3" t="s">
        <v>3072</v>
      </c>
      <c r="J401" t="s">
        <v>3474</v>
      </c>
      <c r="K401">
        <v>5</v>
      </c>
      <c r="L401" t="s">
        <v>4276</v>
      </c>
      <c r="M401" s="3" t="s">
        <v>4281</v>
      </c>
      <c r="N401">
        <v>2119.65</v>
      </c>
    </row>
    <row r="402" spans="1:14" x14ac:dyDescent="0.35">
      <c r="A402" t="s">
        <v>414</v>
      </c>
      <c r="B402" t="s">
        <v>4619</v>
      </c>
      <c r="C402" t="s">
        <v>1614</v>
      </c>
      <c r="D402" s="3" t="s">
        <v>2409</v>
      </c>
      <c r="E402">
        <v>4</v>
      </c>
      <c r="F402">
        <v>160.22</v>
      </c>
      <c r="G402" t="s">
        <v>2733</v>
      </c>
      <c r="H402" s="3" t="s">
        <v>3065</v>
      </c>
      <c r="I402" s="3" t="s">
        <v>3072</v>
      </c>
      <c r="J402" t="s">
        <v>3475</v>
      </c>
      <c r="K402">
        <v>9</v>
      </c>
      <c r="L402" t="s">
        <v>4277</v>
      </c>
      <c r="M402" s="3" t="s">
        <v>4278</v>
      </c>
      <c r="N402">
        <v>640.88</v>
      </c>
    </row>
    <row r="403" spans="1:14" x14ac:dyDescent="0.35">
      <c r="A403" t="s">
        <v>415</v>
      </c>
      <c r="B403" t="s">
        <v>4307</v>
      </c>
      <c r="C403" t="s">
        <v>1615</v>
      </c>
      <c r="D403" s="3" t="s">
        <v>2407</v>
      </c>
      <c r="E403">
        <v>1</v>
      </c>
      <c r="F403">
        <v>538.67999999999995</v>
      </c>
      <c r="G403" t="s">
        <v>2713</v>
      </c>
      <c r="H403" s="3" t="s">
        <v>3065</v>
      </c>
      <c r="I403" s="3" t="s">
        <v>3072</v>
      </c>
      <c r="J403" t="s">
        <v>3476</v>
      </c>
      <c r="K403">
        <v>6</v>
      </c>
      <c r="L403" t="s">
        <v>4292</v>
      </c>
      <c r="M403" s="3" t="s">
        <v>4279</v>
      </c>
      <c r="N403">
        <v>538.67999999999995</v>
      </c>
    </row>
    <row r="404" spans="1:14" x14ac:dyDescent="0.35">
      <c r="A404" t="s">
        <v>416</v>
      </c>
      <c r="B404" t="s">
        <v>4620</v>
      </c>
      <c r="C404" t="s">
        <v>1616</v>
      </c>
      <c r="D404" s="3" t="s">
        <v>2407</v>
      </c>
      <c r="E404">
        <v>5</v>
      </c>
      <c r="F404">
        <v>337.38</v>
      </c>
      <c r="G404" t="s">
        <v>2734</v>
      </c>
      <c r="H404" s="3" t="s">
        <v>3068</v>
      </c>
      <c r="I404" s="3" t="s">
        <v>3070</v>
      </c>
      <c r="J404" t="s">
        <v>3477</v>
      </c>
      <c r="K404">
        <v>5</v>
      </c>
      <c r="L404" t="s">
        <v>4292</v>
      </c>
      <c r="M404" s="3" t="s">
        <v>4279</v>
      </c>
      <c r="N404">
        <v>1686.9</v>
      </c>
    </row>
    <row r="405" spans="1:14" x14ac:dyDescent="0.35">
      <c r="A405" t="s">
        <v>417</v>
      </c>
      <c r="B405" t="s">
        <v>4621</v>
      </c>
      <c r="C405" t="s">
        <v>1617</v>
      </c>
      <c r="D405" s="3" t="s">
        <v>2405</v>
      </c>
      <c r="E405">
        <v>1</v>
      </c>
      <c r="F405">
        <v>620.21</v>
      </c>
      <c r="G405" t="s">
        <v>2650</v>
      </c>
      <c r="H405" s="3" t="s">
        <v>3066</v>
      </c>
      <c r="I405" s="3" t="s">
        <v>3072</v>
      </c>
      <c r="J405" t="s">
        <v>3478</v>
      </c>
      <c r="K405">
        <v>1</v>
      </c>
      <c r="L405" t="s">
        <v>4276</v>
      </c>
      <c r="M405" s="3" t="s">
        <v>4279</v>
      </c>
      <c r="N405">
        <v>620.21</v>
      </c>
    </row>
    <row r="406" spans="1:14" x14ac:dyDescent="0.35">
      <c r="A406" t="s">
        <v>418</v>
      </c>
      <c r="B406" t="s">
        <v>4622</v>
      </c>
      <c r="C406" t="s">
        <v>1618</v>
      </c>
      <c r="D406" s="3" t="s">
        <v>2403</v>
      </c>
      <c r="E406">
        <v>2</v>
      </c>
      <c r="F406">
        <v>99.1</v>
      </c>
      <c r="G406" t="s">
        <v>2473</v>
      </c>
      <c r="H406" s="3" t="s">
        <v>3069</v>
      </c>
      <c r="I406" s="3" t="s">
        <v>3073</v>
      </c>
      <c r="J406" t="s">
        <v>3479</v>
      </c>
      <c r="K406">
        <v>6</v>
      </c>
      <c r="L406" t="s">
        <v>4292</v>
      </c>
      <c r="M406" s="3" t="s">
        <v>4278</v>
      </c>
      <c r="N406">
        <v>198.2</v>
      </c>
    </row>
    <row r="407" spans="1:14" x14ac:dyDescent="0.35">
      <c r="A407" t="s">
        <v>419</v>
      </c>
      <c r="B407" t="s">
        <v>4565</v>
      </c>
      <c r="C407" t="s">
        <v>1619</v>
      </c>
      <c r="D407" s="3" t="s">
        <v>2403</v>
      </c>
      <c r="E407">
        <v>4</v>
      </c>
      <c r="F407">
        <v>451.97</v>
      </c>
      <c r="G407" t="s">
        <v>2715</v>
      </c>
      <c r="H407" s="3" t="s">
        <v>3066</v>
      </c>
      <c r="I407" s="3" t="s">
        <v>3071</v>
      </c>
      <c r="J407" t="s">
        <v>3480</v>
      </c>
      <c r="K407">
        <v>7</v>
      </c>
      <c r="L407" t="s">
        <v>4277</v>
      </c>
      <c r="M407" s="3" t="s">
        <v>4280</v>
      </c>
      <c r="N407">
        <v>1807.88</v>
      </c>
    </row>
    <row r="408" spans="1:14" x14ac:dyDescent="0.35">
      <c r="A408" t="s">
        <v>420</v>
      </c>
      <c r="B408" t="s">
        <v>4623</v>
      </c>
      <c r="C408" t="s">
        <v>1620</v>
      </c>
      <c r="D408" s="3" t="s">
        <v>2405</v>
      </c>
      <c r="E408">
        <v>4</v>
      </c>
      <c r="F408">
        <v>66.099999999999994</v>
      </c>
      <c r="G408" t="s">
        <v>2577</v>
      </c>
      <c r="H408" s="3" t="s">
        <v>3069</v>
      </c>
      <c r="I408" s="3" t="s">
        <v>3072</v>
      </c>
      <c r="J408" t="s">
        <v>3481</v>
      </c>
      <c r="K408">
        <v>9</v>
      </c>
      <c r="L408" t="s">
        <v>4277</v>
      </c>
      <c r="M408" s="3" t="s">
        <v>4282</v>
      </c>
      <c r="N408">
        <v>264.39999999999998</v>
      </c>
    </row>
    <row r="409" spans="1:14" x14ac:dyDescent="0.35">
      <c r="A409" t="s">
        <v>421</v>
      </c>
      <c r="B409" t="s">
        <v>4624</v>
      </c>
      <c r="C409" t="s">
        <v>1621</v>
      </c>
      <c r="D409" s="3" t="s">
        <v>2405</v>
      </c>
      <c r="E409">
        <v>4</v>
      </c>
      <c r="F409">
        <v>547.32000000000005</v>
      </c>
      <c r="G409" t="s">
        <v>2634</v>
      </c>
      <c r="H409" s="3" t="s">
        <v>3069</v>
      </c>
      <c r="I409" s="3" t="s">
        <v>3072</v>
      </c>
      <c r="J409" t="s">
        <v>3482</v>
      </c>
      <c r="K409">
        <v>8</v>
      </c>
      <c r="L409" t="s">
        <v>4276</v>
      </c>
      <c r="M409" s="3" t="s">
        <v>4278</v>
      </c>
      <c r="N409">
        <v>2189.2800000000002</v>
      </c>
    </row>
    <row r="410" spans="1:14" x14ac:dyDescent="0.35">
      <c r="A410" t="s">
        <v>422</v>
      </c>
      <c r="B410" t="s">
        <v>4625</v>
      </c>
      <c r="C410" t="s">
        <v>1622</v>
      </c>
      <c r="D410" s="3" t="s">
        <v>2407</v>
      </c>
      <c r="E410">
        <v>3</v>
      </c>
      <c r="F410">
        <v>412.53</v>
      </c>
      <c r="G410" t="s">
        <v>2735</v>
      </c>
      <c r="H410" s="3" t="s">
        <v>3066</v>
      </c>
      <c r="I410" s="3" t="s">
        <v>3074</v>
      </c>
      <c r="J410" t="s">
        <v>3483</v>
      </c>
      <c r="K410">
        <v>6</v>
      </c>
      <c r="L410" t="s">
        <v>4277</v>
      </c>
      <c r="M410" s="3" t="s">
        <v>4282</v>
      </c>
      <c r="N410">
        <v>1237.5899999999999</v>
      </c>
    </row>
    <row r="411" spans="1:14" x14ac:dyDescent="0.35">
      <c r="A411" t="s">
        <v>423</v>
      </c>
      <c r="B411" t="s">
        <v>4626</v>
      </c>
      <c r="C411" t="s">
        <v>1623</v>
      </c>
      <c r="D411" s="3" t="s">
        <v>2409</v>
      </c>
      <c r="E411">
        <v>5</v>
      </c>
      <c r="F411">
        <v>84.13</v>
      </c>
      <c r="G411" t="s">
        <v>2736</v>
      </c>
      <c r="H411" s="3" t="s">
        <v>3066</v>
      </c>
      <c r="I411" s="3" t="s">
        <v>3073</v>
      </c>
      <c r="J411" t="s">
        <v>3484</v>
      </c>
      <c r="K411">
        <v>9</v>
      </c>
      <c r="L411" t="s">
        <v>4275</v>
      </c>
      <c r="M411" s="3" t="s">
        <v>4282</v>
      </c>
      <c r="N411">
        <v>420.65</v>
      </c>
    </row>
    <row r="412" spans="1:14" x14ac:dyDescent="0.35">
      <c r="A412" t="s">
        <v>424</v>
      </c>
      <c r="B412" t="s">
        <v>4627</v>
      </c>
      <c r="C412" t="s">
        <v>1624</v>
      </c>
      <c r="D412" s="3" t="s">
        <v>2405</v>
      </c>
      <c r="E412">
        <v>2</v>
      </c>
      <c r="F412">
        <v>518.23</v>
      </c>
      <c r="G412" t="s">
        <v>2737</v>
      </c>
      <c r="H412" s="3" t="s">
        <v>3065</v>
      </c>
      <c r="I412" s="3" t="s">
        <v>3070</v>
      </c>
      <c r="J412" t="s">
        <v>3485</v>
      </c>
      <c r="K412">
        <v>5</v>
      </c>
      <c r="L412" t="s">
        <v>4292</v>
      </c>
      <c r="M412" s="3" t="s">
        <v>4280</v>
      </c>
      <c r="N412">
        <v>1036.46</v>
      </c>
    </row>
    <row r="413" spans="1:14" x14ac:dyDescent="0.35">
      <c r="A413" t="s">
        <v>425</v>
      </c>
      <c r="B413" t="s">
        <v>4367</v>
      </c>
      <c r="C413" t="s">
        <v>1625</v>
      </c>
      <c r="D413" s="3" t="s">
        <v>2409</v>
      </c>
      <c r="E413">
        <v>2</v>
      </c>
      <c r="F413">
        <v>39.51</v>
      </c>
      <c r="G413" t="s">
        <v>2549</v>
      </c>
      <c r="H413" s="3" t="s">
        <v>3066</v>
      </c>
      <c r="I413" s="3" t="s">
        <v>3070</v>
      </c>
      <c r="J413" t="s">
        <v>3486</v>
      </c>
      <c r="K413">
        <v>5</v>
      </c>
      <c r="L413" t="s">
        <v>4292</v>
      </c>
      <c r="M413" s="3" t="s">
        <v>4281</v>
      </c>
      <c r="N413">
        <v>79.02</v>
      </c>
    </row>
    <row r="414" spans="1:14" x14ac:dyDescent="0.35">
      <c r="A414" t="s">
        <v>426</v>
      </c>
      <c r="B414" t="s">
        <v>4628</v>
      </c>
      <c r="C414" t="s">
        <v>1626</v>
      </c>
      <c r="D414" s="3" t="s">
        <v>2405</v>
      </c>
      <c r="E414">
        <v>5</v>
      </c>
      <c r="F414">
        <v>133.01</v>
      </c>
      <c r="G414" t="s">
        <v>2738</v>
      </c>
      <c r="H414" s="3" t="s">
        <v>3067</v>
      </c>
      <c r="I414" s="3" t="s">
        <v>3072</v>
      </c>
      <c r="J414" t="s">
        <v>3487</v>
      </c>
      <c r="K414">
        <v>10</v>
      </c>
      <c r="L414" t="s">
        <v>4292</v>
      </c>
      <c r="M414" s="3" t="s">
        <v>4281</v>
      </c>
      <c r="N414">
        <v>665.05</v>
      </c>
    </row>
    <row r="415" spans="1:14" x14ac:dyDescent="0.35">
      <c r="A415" t="s">
        <v>427</v>
      </c>
      <c r="B415" t="s">
        <v>4629</v>
      </c>
      <c r="C415" t="s">
        <v>1627</v>
      </c>
      <c r="D415" s="3" t="s">
        <v>2405</v>
      </c>
      <c r="E415">
        <v>1</v>
      </c>
      <c r="F415">
        <v>118.8</v>
      </c>
      <c r="G415" t="s">
        <v>2739</v>
      </c>
      <c r="H415" s="3" t="s">
        <v>3066</v>
      </c>
      <c r="I415" s="3" t="s">
        <v>3073</v>
      </c>
      <c r="J415" t="s">
        <v>3488</v>
      </c>
      <c r="K415">
        <v>6</v>
      </c>
      <c r="L415" t="s">
        <v>4275</v>
      </c>
      <c r="M415" s="3" t="s">
        <v>4280</v>
      </c>
      <c r="N415">
        <v>118.8</v>
      </c>
    </row>
    <row r="416" spans="1:14" x14ac:dyDescent="0.35">
      <c r="A416" t="s">
        <v>428</v>
      </c>
      <c r="B416" t="s">
        <v>4630</v>
      </c>
      <c r="C416" t="s">
        <v>1628</v>
      </c>
      <c r="D416" s="3" t="s">
        <v>2409</v>
      </c>
      <c r="E416">
        <v>2</v>
      </c>
      <c r="F416">
        <v>139.57</v>
      </c>
      <c r="G416" t="s">
        <v>2740</v>
      </c>
      <c r="H416" s="3" t="s">
        <v>3069</v>
      </c>
      <c r="I416" s="3" t="s">
        <v>3073</v>
      </c>
      <c r="J416" t="s">
        <v>3489</v>
      </c>
      <c r="K416">
        <v>4</v>
      </c>
      <c r="L416" t="s">
        <v>4277</v>
      </c>
      <c r="M416" s="3" t="s">
        <v>4281</v>
      </c>
      <c r="N416">
        <v>279.14</v>
      </c>
    </row>
    <row r="417" spans="1:14" x14ac:dyDescent="0.35">
      <c r="A417" t="s">
        <v>429</v>
      </c>
      <c r="B417" t="s">
        <v>4445</v>
      </c>
      <c r="C417" t="s">
        <v>1629</v>
      </c>
      <c r="D417" s="3" t="s">
        <v>2406</v>
      </c>
      <c r="E417">
        <v>1</v>
      </c>
      <c r="F417">
        <v>184.15</v>
      </c>
      <c r="G417" t="s">
        <v>2639</v>
      </c>
      <c r="H417" s="3" t="s">
        <v>3068</v>
      </c>
      <c r="I417" s="3" t="s">
        <v>3070</v>
      </c>
      <c r="J417" t="s">
        <v>3490</v>
      </c>
      <c r="K417">
        <v>5</v>
      </c>
      <c r="L417" t="s">
        <v>4276</v>
      </c>
      <c r="M417" s="3" t="s">
        <v>4281</v>
      </c>
      <c r="N417">
        <v>184.15</v>
      </c>
    </row>
    <row r="418" spans="1:14" x14ac:dyDescent="0.35">
      <c r="A418" t="s">
        <v>430</v>
      </c>
      <c r="B418" t="s">
        <v>4486</v>
      </c>
      <c r="C418" t="s">
        <v>1630</v>
      </c>
      <c r="D418" s="3" t="s">
        <v>2408</v>
      </c>
      <c r="E418">
        <v>2</v>
      </c>
      <c r="F418">
        <v>644.04999999999995</v>
      </c>
      <c r="G418" t="s">
        <v>2741</v>
      </c>
      <c r="H418" s="3" t="s">
        <v>3068</v>
      </c>
      <c r="I418" s="3" t="s">
        <v>3071</v>
      </c>
      <c r="J418" t="s">
        <v>3491</v>
      </c>
      <c r="K418">
        <v>5</v>
      </c>
      <c r="L418" t="s">
        <v>4277</v>
      </c>
      <c r="M418" s="3" t="s">
        <v>4279</v>
      </c>
      <c r="N418">
        <v>1288.0999999999999</v>
      </c>
    </row>
    <row r="419" spans="1:14" x14ac:dyDescent="0.35">
      <c r="A419" t="s">
        <v>431</v>
      </c>
      <c r="B419" t="s">
        <v>4631</v>
      </c>
      <c r="C419" t="s">
        <v>1631</v>
      </c>
      <c r="D419" s="3" t="s">
        <v>2408</v>
      </c>
      <c r="E419">
        <v>5</v>
      </c>
      <c r="F419">
        <v>55.41</v>
      </c>
      <c r="G419" t="s">
        <v>2742</v>
      </c>
      <c r="H419" s="3" t="s">
        <v>3066</v>
      </c>
      <c r="I419" s="3" t="s">
        <v>3071</v>
      </c>
      <c r="J419" t="s">
        <v>3492</v>
      </c>
      <c r="K419">
        <v>5</v>
      </c>
      <c r="L419" t="s">
        <v>4292</v>
      </c>
      <c r="M419" s="3" t="s">
        <v>4282</v>
      </c>
      <c r="N419">
        <v>277.05</v>
      </c>
    </row>
    <row r="420" spans="1:14" x14ac:dyDescent="0.35">
      <c r="A420" t="s">
        <v>432</v>
      </c>
      <c r="B420" t="s">
        <v>4632</v>
      </c>
      <c r="C420" t="s">
        <v>1632</v>
      </c>
      <c r="D420" s="3" t="s">
        <v>2407</v>
      </c>
      <c r="E420">
        <v>1</v>
      </c>
      <c r="F420">
        <v>310.93</v>
      </c>
      <c r="G420" t="s">
        <v>2743</v>
      </c>
      <c r="H420" s="3" t="s">
        <v>3066</v>
      </c>
      <c r="I420" s="3" t="s">
        <v>3071</v>
      </c>
      <c r="J420" t="s">
        <v>3493</v>
      </c>
      <c r="K420">
        <v>3</v>
      </c>
      <c r="L420" t="s">
        <v>4292</v>
      </c>
      <c r="M420" s="3" t="s">
        <v>4281</v>
      </c>
      <c r="N420">
        <v>310.93</v>
      </c>
    </row>
    <row r="421" spans="1:14" x14ac:dyDescent="0.35">
      <c r="A421" t="s">
        <v>433</v>
      </c>
      <c r="B421" t="s">
        <v>4633</v>
      </c>
      <c r="C421" t="s">
        <v>1633</v>
      </c>
      <c r="D421" s="3" t="s">
        <v>2405</v>
      </c>
      <c r="E421">
        <v>2</v>
      </c>
      <c r="F421">
        <v>216.66</v>
      </c>
      <c r="G421" t="s">
        <v>2701</v>
      </c>
      <c r="H421" s="3" t="s">
        <v>3065</v>
      </c>
      <c r="I421" s="3" t="s">
        <v>3074</v>
      </c>
      <c r="J421" t="s">
        <v>3494</v>
      </c>
      <c r="K421">
        <v>6</v>
      </c>
      <c r="L421" t="s">
        <v>4276</v>
      </c>
      <c r="M421" s="3" t="s">
        <v>4278</v>
      </c>
      <c r="N421">
        <v>433.32</v>
      </c>
    </row>
    <row r="422" spans="1:14" x14ac:dyDescent="0.35">
      <c r="A422" t="s">
        <v>434</v>
      </c>
      <c r="B422" t="s">
        <v>4634</v>
      </c>
      <c r="C422" t="s">
        <v>1634</v>
      </c>
      <c r="D422" s="3" t="s">
        <v>2404</v>
      </c>
      <c r="E422">
        <v>1</v>
      </c>
      <c r="F422">
        <v>452.7</v>
      </c>
      <c r="G422" t="s">
        <v>2744</v>
      </c>
      <c r="H422" s="3" t="s">
        <v>3065</v>
      </c>
      <c r="I422" s="3" t="s">
        <v>3070</v>
      </c>
      <c r="J422" t="s">
        <v>3495</v>
      </c>
      <c r="K422">
        <v>5</v>
      </c>
      <c r="L422" t="s">
        <v>4276</v>
      </c>
      <c r="M422" s="3" t="s">
        <v>4278</v>
      </c>
      <c r="N422">
        <v>452.7</v>
      </c>
    </row>
    <row r="423" spans="1:14" x14ac:dyDescent="0.35">
      <c r="A423" t="s">
        <v>435</v>
      </c>
      <c r="B423" t="s">
        <v>4286</v>
      </c>
      <c r="C423" t="s">
        <v>1635</v>
      </c>
      <c r="D423" s="3" t="s">
        <v>2406</v>
      </c>
      <c r="E423">
        <v>2</v>
      </c>
      <c r="F423">
        <v>288.20999999999998</v>
      </c>
      <c r="G423" t="s">
        <v>2745</v>
      </c>
      <c r="H423" s="3" t="s">
        <v>3065</v>
      </c>
      <c r="I423" s="3" t="s">
        <v>3071</v>
      </c>
      <c r="J423" t="s">
        <v>3496</v>
      </c>
      <c r="K423">
        <v>5</v>
      </c>
      <c r="L423" t="s">
        <v>4292</v>
      </c>
      <c r="M423" s="3" t="s">
        <v>4280</v>
      </c>
      <c r="N423">
        <v>576.41999999999996</v>
      </c>
    </row>
    <row r="424" spans="1:14" x14ac:dyDescent="0.35">
      <c r="A424" t="s">
        <v>436</v>
      </c>
      <c r="B424" t="s">
        <v>4316</v>
      </c>
      <c r="C424" t="s">
        <v>1636</v>
      </c>
      <c r="D424" s="3" t="s">
        <v>2404</v>
      </c>
      <c r="E424">
        <v>4</v>
      </c>
      <c r="F424">
        <v>206.6</v>
      </c>
      <c r="G424" t="s">
        <v>2426</v>
      </c>
      <c r="H424" s="3" t="s">
        <v>3068</v>
      </c>
      <c r="I424" s="3" t="s">
        <v>3072</v>
      </c>
      <c r="J424" t="s">
        <v>3497</v>
      </c>
      <c r="K424">
        <v>6</v>
      </c>
      <c r="L424" t="s">
        <v>4277</v>
      </c>
      <c r="M424" s="3" t="s">
        <v>4279</v>
      </c>
      <c r="N424">
        <v>826.4</v>
      </c>
    </row>
    <row r="425" spans="1:14" x14ac:dyDescent="0.35">
      <c r="A425" t="s">
        <v>437</v>
      </c>
      <c r="B425" t="s">
        <v>4635</v>
      </c>
      <c r="C425" t="s">
        <v>1637</v>
      </c>
      <c r="D425" s="3" t="s">
        <v>2407</v>
      </c>
      <c r="E425">
        <v>4</v>
      </c>
      <c r="F425">
        <v>685.2</v>
      </c>
      <c r="G425" t="s">
        <v>2651</v>
      </c>
      <c r="H425" s="3" t="s">
        <v>3068</v>
      </c>
      <c r="I425" s="3" t="s">
        <v>3071</v>
      </c>
      <c r="J425" t="s">
        <v>3498</v>
      </c>
      <c r="K425">
        <v>6</v>
      </c>
      <c r="L425" t="s">
        <v>4277</v>
      </c>
      <c r="M425" s="3" t="s">
        <v>4282</v>
      </c>
      <c r="N425">
        <v>2740.8</v>
      </c>
    </row>
    <row r="426" spans="1:14" x14ac:dyDescent="0.35">
      <c r="A426" t="s">
        <v>438</v>
      </c>
      <c r="B426" t="s">
        <v>4636</v>
      </c>
      <c r="C426" t="s">
        <v>1638</v>
      </c>
      <c r="D426" s="3" t="s">
        <v>2406</v>
      </c>
      <c r="E426">
        <v>5</v>
      </c>
      <c r="F426">
        <v>22.94</v>
      </c>
      <c r="G426" t="s">
        <v>2678</v>
      </c>
      <c r="H426" s="3" t="s">
        <v>3069</v>
      </c>
      <c r="I426" s="3" t="s">
        <v>3074</v>
      </c>
      <c r="J426" t="s">
        <v>3499</v>
      </c>
      <c r="K426">
        <v>10</v>
      </c>
      <c r="L426" t="s">
        <v>4292</v>
      </c>
      <c r="M426" s="3" t="s">
        <v>4280</v>
      </c>
      <c r="N426">
        <v>114.7</v>
      </c>
    </row>
    <row r="427" spans="1:14" x14ac:dyDescent="0.35">
      <c r="A427" t="s">
        <v>439</v>
      </c>
      <c r="B427" t="s">
        <v>4622</v>
      </c>
      <c r="C427" t="s">
        <v>1639</v>
      </c>
      <c r="D427" s="3" t="s">
        <v>2408</v>
      </c>
      <c r="E427">
        <v>2</v>
      </c>
      <c r="F427">
        <v>301.88</v>
      </c>
      <c r="G427" t="s">
        <v>2746</v>
      </c>
      <c r="H427" s="3" t="s">
        <v>3068</v>
      </c>
      <c r="I427" s="3" t="s">
        <v>3072</v>
      </c>
      <c r="J427" t="s">
        <v>3500</v>
      </c>
      <c r="K427">
        <v>5</v>
      </c>
      <c r="L427" t="s">
        <v>4277</v>
      </c>
      <c r="M427" s="3" t="s">
        <v>4280</v>
      </c>
      <c r="N427">
        <v>603.76</v>
      </c>
    </row>
    <row r="428" spans="1:14" x14ac:dyDescent="0.35">
      <c r="A428" t="s">
        <v>440</v>
      </c>
      <c r="B428" t="s">
        <v>4637</v>
      </c>
      <c r="C428" t="s">
        <v>1640</v>
      </c>
      <c r="D428" s="3" t="s">
        <v>2403</v>
      </c>
      <c r="E428">
        <v>5</v>
      </c>
      <c r="F428">
        <v>57.45</v>
      </c>
      <c r="G428" t="s">
        <v>2747</v>
      </c>
      <c r="H428" s="3" t="s">
        <v>3069</v>
      </c>
      <c r="I428" s="3" t="s">
        <v>3071</v>
      </c>
      <c r="J428" t="s">
        <v>3501</v>
      </c>
      <c r="K428">
        <v>10</v>
      </c>
      <c r="L428" t="s">
        <v>4292</v>
      </c>
      <c r="M428" s="3" t="s">
        <v>4281</v>
      </c>
      <c r="N428">
        <v>287.25</v>
      </c>
    </row>
    <row r="429" spans="1:14" x14ac:dyDescent="0.35">
      <c r="A429" t="s">
        <v>441</v>
      </c>
      <c r="B429" t="s">
        <v>4428</v>
      </c>
      <c r="C429" t="s">
        <v>1641</v>
      </c>
      <c r="D429" s="3" t="s">
        <v>2409</v>
      </c>
      <c r="E429">
        <v>1</v>
      </c>
      <c r="F429">
        <v>161.24</v>
      </c>
      <c r="G429" t="s">
        <v>2748</v>
      </c>
      <c r="H429" s="3" t="s">
        <v>3067</v>
      </c>
      <c r="I429" s="3" t="s">
        <v>3074</v>
      </c>
      <c r="J429" t="s">
        <v>3502</v>
      </c>
      <c r="K429">
        <v>3</v>
      </c>
      <c r="L429" t="s">
        <v>4277</v>
      </c>
      <c r="M429" s="3" t="s">
        <v>4278</v>
      </c>
      <c r="N429">
        <v>161.24</v>
      </c>
    </row>
    <row r="430" spans="1:14" x14ac:dyDescent="0.35">
      <c r="A430" t="s">
        <v>442</v>
      </c>
      <c r="B430" t="s">
        <v>4414</v>
      </c>
      <c r="C430" t="s">
        <v>1642</v>
      </c>
      <c r="D430" s="3" t="s">
        <v>2406</v>
      </c>
      <c r="E430">
        <v>4</v>
      </c>
      <c r="F430">
        <v>262.58</v>
      </c>
      <c r="G430" t="s">
        <v>2440</v>
      </c>
      <c r="H430" s="3" t="s">
        <v>3066</v>
      </c>
      <c r="I430" s="3" t="s">
        <v>3071</v>
      </c>
      <c r="J430" t="s">
        <v>3503</v>
      </c>
      <c r="K430">
        <v>8</v>
      </c>
      <c r="L430" t="s">
        <v>4277</v>
      </c>
      <c r="M430" s="3" t="s">
        <v>4280</v>
      </c>
      <c r="N430">
        <v>1050.32</v>
      </c>
    </row>
    <row r="431" spans="1:14" x14ac:dyDescent="0.35">
      <c r="A431" t="s">
        <v>443</v>
      </c>
      <c r="B431" t="s">
        <v>4320</v>
      </c>
      <c r="C431" t="s">
        <v>1643</v>
      </c>
      <c r="D431" s="3" t="s">
        <v>2407</v>
      </c>
      <c r="E431">
        <v>4</v>
      </c>
      <c r="F431">
        <v>515.19000000000005</v>
      </c>
      <c r="G431" t="s">
        <v>2511</v>
      </c>
      <c r="H431" s="3" t="s">
        <v>3067</v>
      </c>
      <c r="I431" s="3" t="s">
        <v>3074</v>
      </c>
      <c r="J431" t="s">
        <v>3504</v>
      </c>
      <c r="K431">
        <v>9</v>
      </c>
      <c r="L431" t="s">
        <v>4275</v>
      </c>
      <c r="M431" s="3" t="s">
        <v>4281</v>
      </c>
      <c r="N431">
        <v>2060.7600000000002</v>
      </c>
    </row>
    <row r="432" spans="1:14" x14ac:dyDescent="0.35">
      <c r="A432" t="s">
        <v>444</v>
      </c>
      <c r="B432" t="s">
        <v>4607</v>
      </c>
      <c r="C432" t="s">
        <v>1644</v>
      </c>
      <c r="D432" s="3" t="s">
        <v>2404</v>
      </c>
      <c r="E432">
        <v>1</v>
      </c>
      <c r="F432">
        <v>450.07</v>
      </c>
      <c r="G432" t="s">
        <v>2749</v>
      </c>
      <c r="H432" s="3" t="s">
        <v>3068</v>
      </c>
      <c r="I432" s="3" t="s">
        <v>3070</v>
      </c>
      <c r="J432" t="s">
        <v>3505</v>
      </c>
      <c r="K432">
        <v>6</v>
      </c>
      <c r="L432" t="s">
        <v>4276</v>
      </c>
      <c r="M432" s="3" t="s">
        <v>4282</v>
      </c>
      <c r="N432">
        <v>450.07</v>
      </c>
    </row>
    <row r="433" spans="1:14" x14ac:dyDescent="0.35">
      <c r="A433" t="s">
        <v>445</v>
      </c>
      <c r="B433" t="s">
        <v>4638</v>
      </c>
      <c r="C433" t="s">
        <v>1645</v>
      </c>
      <c r="D433" s="3" t="s">
        <v>2407</v>
      </c>
      <c r="E433">
        <v>1</v>
      </c>
      <c r="F433">
        <v>52.54</v>
      </c>
      <c r="G433" t="s">
        <v>2553</v>
      </c>
      <c r="H433" s="3" t="s">
        <v>3065</v>
      </c>
      <c r="I433" s="3" t="s">
        <v>3071</v>
      </c>
      <c r="J433" t="s">
        <v>3506</v>
      </c>
      <c r="K433">
        <v>6</v>
      </c>
      <c r="L433" t="s">
        <v>4277</v>
      </c>
      <c r="M433" s="3" t="s">
        <v>4281</v>
      </c>
      <c r="N433">
        <v>52.54</v>
      </c>
    </row>
    <row r="434" spans="1:14" x14ac:dyDescent="0.35">
      <c r="A434" t="s">
        <v>446</v>
      </c>
      <c r="B434" t="s">
        <v>4639</v>
      </c>
      <c r="C434" t="s">
        <v>1646</v>
      </c>
      <c r="D434" s="3" t="s">
        <v>2405</v>
      </c>
      <c r="E434">
        <v>2</v>
      </c>
      <c r="F434">
        <v>424.32</v>
      </c>
      <c r="G434" t="s">
        <v>2750</v>
      </c>
      <c r="H434" s="3" t="s">
        <v>3067</v>
      </c>
      <c r="I434" s="3" t="s">
        <v>3072</v>
      </c>
      <c r="J434" t="s">
        <v>3507</v>
      </c>
      <c r="K434">
        <v>6</v>
      </c>
      <c r="L434" t="s">
        <v>4292</v>
      </c>
      <c r="M434" s="3" t="s">
        <v>4279</v>
      </c>
      <c r="N434">
        <v>848.64</v>
      </c>
    </row>
    <row r="435" spans="1:14" x14ac:dyDescent="0.35">
      <c r="A435" t="s">
        <v>447</v>
      </c>
      <c r="B435" t="s">
        <v>4330</v>
      </c>
      <c r="C435" t="s">
        <v>1647</v>
      </c>
      <c r="D435" s="3" t="s">
        <v>2403</v>
      </c>
      <c r="E435">
        <v>3</v>
      </c>
      <c r="F435">
        <v>631.64</v>
      </c>
      <c r="G435" t="s">
        <v>2624</v>
      </c>
      <c r="H435" s="3" t="s">
        <v>3067</v>
      </c>
      <c r="I435" s="3" t="s">
        <v>3072</v>
      </c>
      <c r="J435" t="s">
        <v>3508</v>
      </c>
      <c r="K435">
        <v>3</v>
      </c>
      <c r="L435" t="s">
        <v>4276</v>
      </c>
      <c r="M435" s="3" t="s">
        <v>4281</v>
      </c>
      <c r="N435">
        <v>1894.92</v>
      </c>
    </row>
    <row r="436" spans="1:14" x14ac:dyDescent="0.35">
      <c r="A436" t="s">
        <v>448</v>
      </c>
      <c r="B436" t="s">
        <v>4640</v>
      </c>
      <c r="C436" t="s">
        <v>1648</v>
      </c>
      <c r="D436" s="3" t="s">
        <v>2407</v>
      </c>
      <c r="E436">
        <v>5</v>
      </c>
      <c r="F436">
        <v>327.68</v>
      </c>
      <c r="G436" t="s">
        <v>2475</v>
      </c>
      <c r="H436" s="3" t="s">
        <v>3067</v>
      </c>
      <c r="I436" s="3" t="s">
        <v>3072</v>
      </c>
      <c r="J436" t="s">
        <v>3509</v>
      </c>
      <c r="K436">
        <v>6</v>
      </c>
      <c r="L436" t="s">
        <v>4292</v>
      </c>
      <c r="M436" s="3" t="s">
        <v>4281</v>
      </c>
      <c r="N436">
        <v>1638.4</v>
      </c>
    </row>
    <row r="437" spans="1:14" x14ac:dyDescent="0.35">
      <c r="A437" t="s">
        <v>449</v>
      </c>
      <c r="B437" t="s">
        <v>4440</v>
      </c>
      <c r="C437" t="s">
        <v>1649</v>
      </c>
      <c r="D437" s="3" t="s">
        <v>2407</v>
      </c>
      <c r="E437">
        <v>1</v>
      </c>
      <c r="F437">
        <v>414.47</v>
      </c>
      <c r="G437" t="s">
        <v>2677</v>
      </c>
      <c r="H437" s="3" t="s">
        <v>3065</v>
      </c>
      <c r="I437" s="3" t="s">
        <v>3072</v>
      </c>
      <c r="J437" t="s">
        <v>3510</v>
      </c>
      <c r="K437">
        <v>3</v>
      </c>
      <c r="L437" t="s">
        <v>4276</v>
      </c>
      <c r="M437" s="3" t="s">
        <v>4278</v>
      </c>
      <c r="N437">
        <v>414.47</v>
      </c>
    </row>
    <row r="438" spans="1:14" x14ac:dyDescent="0.35">
      <c r="A438" t="s">
        <v>450</v>
      </c>
      <c r="B438" t="s">
        <v>4375</v>
      </c>
      <c r="C438" t="s">
        <v>1650</v>
      </c>
      <c r="D438" s="3" t="s">
        <v>2408</v>
      </c>
      <c r="E438">
        <v>4</v>
      </c>
      <c r="F438">
        <v>221.33</v>
      </c>
      <c r="G438" t="s">
        <v>2553</v>
      </c>
      <c r="H438" s="3" t="s">
        <v>3066</v>
      </c>
      <c r="I438" s="3" t="s">
        <v>3074</v>
      </c>
      <c r="J438" t="s">
        <v>3511</v>
      </c>
      <c r="K438">
        <v>5</v>
      </c>
      <c r="L438" t="s">
        <v>4292</v>
      </c>
      <c r="M438" s="3" t="s">
        <v>4282</v>
      </c>
      <c r="N438">
        <v>885.32</v>
      </c>
    </row>
    <row r="439" spans="1:14" x14ac:dyDescent="0.35">
      <c r="A439" t="s">
        <v>451</v>
      </c>
      <c r="B439" t="s">
        <v>4455</v>
      </c>
      <c r="C439" t="s">
        <v>1651</v>
      </c>
      <c r="D439" s="3" t="s">
        <v>2404</v>
      </c>
      <c r="E439">
        <v>1</v>
      </c>
      <c r="F439">
        <v>512.39</v>
      </c>
      <c r="G439" t="s">
        <v>2751</v>
      </c>
      <c r="H439" s="3" t="s">
        <v>3066</v>
      </c>
      <c r="I439" s="3" t="s">
        <v>3073</v>
      </c>
      <c r="J439" t="s">
        <v>3512</v>
      </c>
      <c r="K439">
        <v>2</v>
      </c>
      <c r="L439" t="s">
        <v>4276</v>
      </c>
      <c r="M439" s="3" t="s">
        <v>4278</v>
      </c>
      <c r="N439">
        <v>512.39</v>
      </c>
    </row>
    <row r="440" spans="1:14" x14ac:dyDescent="0.35">
      <c r="A440" t="s">
        <v>452</v>
      </c>
      <c r="B440" t="s">
        <v>4479</v>
      </c>
      <c r="C440" t="s">
        <v>1652</v>
      </c>
      <c r="D440" s="3" t="s">
        <v>2405</v>
      </c>
      <c r="E440">
        <v>3</v>
      </c>
      <c r="F440">
        <v>459.34</v>
      </c>
      <c r="G440" t="s">
        <v>2752</v>
      </c>
      <c r="H440" s="3" t="s">
        <v>3068</v>
      </c>
      <c r="I440" s="3" t="s">
        <v>3074</v>
      </c>
      <c r="J440" t="s">
        <v>3513</v>
      </c>
      <c r="K440">
        <v>3</v>
      </c>
      <c r="L440" t="s">
        <v>4275</v>
      </c>
      <c r="M440" s="3" t="s">
        <v>4278</v>
      </c>
      <c r="N440">
        <v>1378.02</v>
      </c>
    </row>
    <row r="441" spans="1:14" x14ac:dyDescent="0.35">
      <c r="A441" t="s">
        <v>453</v>
      </c>
      <c r="B441" t="s">
        <v>4334</v>
      </c>
      <c r="C441" t="s">
        <v>1653</v>
      </c>
      <c r="D441" s="3" t="s">
        <v>2405</v>
      </c>
      <c r="E441">
        <v>1</v>
      </c>
      <c r="F441">
        <v>146.32</v>
      </c>
      <c r="G441" t="s">
        <v>2753</v>
      </c>
      <c r="H441" s="3" t="s">
        <v>3066</v>
      </c>
      <c r="I441" s="3" t="s">
        <v>3070</v>
      </c>
      <c r="J441" t="s">
        <v>3514</v>
      </c>
      <c r="K441">
        <v>4</v>
      </c>
      <c r="L441" t="s">
        <v>4277</v>
      </c>
      <c r="M441" s="3" t="s">
        <v>4281</v>
      </c>
      <c r="N441">
        <v>146.32</v>
      </c>
    </row>
    <row r="442" spans="1:14" x14ac:dyDescent="0.35">
      <c r="A442" t="s">
        <v>454</v>
      </c>
      <c r="B442" t="s">
        <v>4641</v>
      </c>
      <c r="C442" t="s">
        <v>1654</v>
      </c>
      <c r="D442" s="3" t="s">
        <v>2409</v>
      </c>
      <c r="E442">
        <v>4</v>
      </c>
      <c r="F442">
        <v>83.6</v>
      </c>
      <c r="G442" t="s">
        <v>2674</v>
      </c>
      <c r="H442" s="3" t="s">
        <v>3065</v>
      </c>
      <c r="I442" s="3" t="s">
        <v>3074</v>
      </c>
      <c r="J442" t="s">
        <v>3515</v>
      </c>
      <c r="K442">
        <v>4</v>
      </c>
      <c r="L442" t="s">
        <v>4275</v>
      </c>
      <c r="M442" s="3" t="s">
        <v>4281</v>
      </c>
      <c r="N442">
        <v>334.4</v>
      </c>
    </row>
    <row r="443" spans="1:14" x14ac:dyDescent="0.35">
      <c r="A443" t="s">
        <v>455</v>
      </c>
      <c r="B443" t="s">
        <v>4425</v>
      </c>
      <c r="C443" t="s">
        <v>1655</v>
      </c>
      <c r="D443" s="3" t="s">
        <v>2407</v>
      </c>
      <c r="E443">
        <v>2</v>
      </c>
      <c r="F443">
        <v>328.54</v>
      </c>
      <c r="G443" t="s">
        <v>2754</v>
      </c>
      <c r="H443" s="3" t="s">
        <v>3068</v>
      </c>
      <c r="I443" s="3" t="s">
        <v>3072</v>
      </c>
      <c r="J443" t="s">
        <v>3516</v>
      </c>
      <c r="K443">
        <v>6</v>
      </c>
      <c r="L443" t="s">
        <v>4276</v>
      </c>
      <c r="M443" s="3" t="s">
        <v>4280</v>
      </c>
      <c r="N443">
        <v>657.08</v>
      </c>
    </row>
    <row r="444" spans="1:14" x14ac:dyDescent="0.35">
      <c r="A444" t="s">
        <v>456</v>
      </c>
      <c r="B444" t="s">
        <v>4324</v>
      </c>
      <c r="C444" t="s">
        <v>1656</v>
      </c>
      <c r="D444" s="3" t="s">
        <v>2406</v>
      </c>
      <c r="E444">
        <v>5</v>
      </c>
      <c r="F444">
        <v>314.94</v>
      </c>
      <c r="G444" t="s">
        <v>2755</v>
      </c>
      <c r="H444" s="3" t="s">
        <v>3069</v>
      </c>
      <c r="I444" s="3" t="s">
        <v>3074</v>
      </c>
      <c r="J444" t="s">
        <v>3517</v>
      </c>
      <c r="K444">
        <v>8</v>
      </c>
      <c r="L444" t="s">
        <v>4275</v>
      </c>
      <c r="M444" s="3" t="s">
        <v>4278</v>
      </c>
      <c r="N444">
        <v>1574.7</v>
      </c>
    </row>
    <row r="445" spans="1:14" x14ac:dyDescent="0.35">
      <c r="A445" t="s">
        <v>457</v>
      </c>
      <c r="B445" t="s">
        <v>4642</v>
      </c>
      <c r="C445" t="s">
        <v>1657</v>
      </c>
      <c r="D445" s="3" t="s">
        <v>2406</v>
      </c>
      <c r="E445">
        <v>2</v>
      </c>
      <c r="F445">
        <v>69.64</v>
      </c>
      <c r="G445" t="s">
        <v>2469</v>
      </c>
      <c r="H445" s="3" t="s">
        <v>3069</v>
      </c>
      <c r="I445" s="3" t="s">
        <v>3072</v>
      </c>
      <c r="J445" t="s">
        <v>3518</v>
      </c>
      <c r="K445">
        <v>6</v>
      </c>
      <c r="L445" t="s">
        <v>4292</v>
      </c>
      <c r="M445" s="3" t="s">
        <v>4281</v>
      </c>
      <c r="N445">
        <v>139.28</v>
      </c>
    </row>
    <row r="446" spans="1:14" x14ac:dyDescent="0.35">
      <c r="A446" t="s">
        <v>458</v>
      </c>
      <c r="B446" t="s">
        <v>4464</v>
      </c>
      <c r="C446" t="s">
        <v>1658</v>
      </c>
      <c r="D446" s="3" t="s">
        <v>2407</v>
      </c>
      <c r="E446">
        <v>1</v>
      </c>
      <c r="F446">
        <v>135.16999999999999</v>
      </c>
      <c r="G446" t="s">
        <v>2756</v>
      </c>
      <c r="H446" s="3" t="s">
        <v>3066</v>
      </c>
      <c r="I446" s="3" t="s">
        <v>3070</v>
      </c>
      <c r="J446" t="s">
        <v>3519</v>
      </c>
      <c r="K446">
        <v>6</v>
      </c>
      <c r="L446" t="s">
        <v>4276</v>
      </c>
      <c r="M446" s="3" t="s">
        <v>4278</v>
      </c>
      <c r="N446">
        <v>135.16999999999999</v>
      </c>
    </row>
    <row r="447" spans="1:14" x14ac:dyDescent="0.35">
      <c r="A447" t="s">
        <v>459</v>
      </c>
      <c r="B447" t="s">
        <v>4514</v>
      </c>
      <c r="C447" t="s">
        <v>1659</v>
      </c>
      <c r="D447" s="3" t="s">
        <v>2404</v>
      </c>
      <c r="E447">
        <v>1</v>
      </c>
      <c r="F447">
        <v>487.21</v>
      </c>
      <c r="G447" t="s">
        <v>2757</v>
      </c>
      <c r="H447" s="3" t="s">
        <v>3069</v>
      </c>
      <c r="I447" s="3" t="s">
        <v>3073</v>
      </c>
      <c r="J447" t="s">
        <v>3520</v>
      </c>
      <c r="K447">
        <v>3</v>
      </c>
      <c r="L447" t="s">
        <v>4275</v>
      </c>
      <c r="M447" s="3" t="s">
        <v>4279</v>
      </c>
      <c r="N447">
        <v>487.21</v>
      </c>
    </row>
    <row r="448" spans="1:14" x14ac:dyDescent="0.35">
      <c r="A448" t="s">
        <v>460</v>
      </c>
      <c r="B448" t="s">
        <v>4643</v>
      </c>
      <c r="C448" t="s">
        <v>1660</v>
      </c>
      <c r="D448" s="3" t="s">
        <v>2408</v>
      </c>
      <c r="E448">
        <v>5</v>
      </c>
      <c r="F448">
        <v>509.58</v>
      </c>
      <c r="G448" t="s">
        <v>2758</v>
      </c>
      <c r="H448" s="3" t="s">
        <v>3066</v>
      </c>
      <c r="I448" s="3" t="s">
        <v>3073</v>
      </c>
      <c r="J448" t="s">
        <v>3521</v>
      </c>
      <c r="K448">
        <v>6</v>
      </c>
      <c r="L448" t="s">
        <v>4276</v>
      </c>
      <c r="M448" s="3" t="s">
        <v>4278</v>
      </c>
      <c r="N448">
        <v>2547.9</v>
      </c>
    </row>
    <row r="449" spans="1:14" x14ac:dyDescent="0.35">
      <c r="A449" t="s">
        <v>461</v>
      </c>
      <c r="B449" t="s">
        <v>4442</v>
      </c>
      <c r="C449" t="s">
        <v>1661</v>
      </c>
      <c r="D449" s="3" t="s">
        <v>2407</v>
      </c>
      <c r="E449">
        <v>2</v>
      </c>
      <c r="F449">
        <v>416.81</v>
      </c>
      <c r="G449" t="s">
        <v>2759</v>
      </c>
      <c r="H449" s="3" t="s">
        <v>3069</v>
      </c>
      <c r="I449" s="3" t="s">
        <v>3072</v>
      </c>
      <c r="J449" t="s">
        <v>3522</v>
      </c>
      <c r="K449">
        <v>2</v>
      </c>
      <c r="L449" t="s">
        <v>4292</v>
      </c>
      <c r="M449" s="3" t="s">
        <v>4281</v>
      </c>
      <c r="N449">
        <v>833.62</v>
      </c>
    </row>
    <row r="450" spans="1:14" x14ac:dyDescent="0.35">
      <c r="A450" t="s">
        <v>462</v>
      </c>
      <c r="B450" t="s">
        <v>4639</v>
      </c>
      <c r="C450" t="s">
        <v>1662</v>
      </c>
      <c r="D450" s="3" t="s">
        <v>2408</v>
      </c>
      <c r="E450">
        <v>2</v>
      </c>
      <c r="F450">
        <v>160</v>
      </c>
      <c r="G450" t="s">
        <v>2760</v>
      </c>
      <c r="H450" s="3" t="s">
        <v>3069</v>
      </c>
      <c r="I450" s="3" t="s">
        <v>3074</v>
      </c>
      <c r="J450" t="s">
        <v>3523</v>
      </c>
      <c r="K450">
        <v>4</v>
      </c>
      <c r="L450" t="s">
        <v>4275</v>
      </c>
      <c r="M450" s="3" t="s">
        <v>4278</v>
      </c>
      <c r="N450">
        <v>320</v>
      </c>
    </row>
    <row r="451" spans="1:14" x14ac:dyDescent="0.35">
      <c r="A451" t="s">
        <v>463</v>
      </c>
      <c r="B451" t="s">
        <v>4644</v>
      </c>
      <c r="C451" t="s">
        <v>1663</v>
      </c>
      <c r="D451" s="3" t="s">
        <v>2405</v>
      </c>
      <c r="E451">
        <v>3</v>
      </c>
      <c r="F451">
        <v>253.05</v>
      </c>
      <c r="G451" t="s">
        <v>2761</v>
      </c>
      <c r="H451" s="3" t="s">
        <v>3066</v>
      </c>
      <c r="I451" s="3" t="s">
        <v>3074</v>
      </c>
      <c r="J451" t="s">
        <v>3524</v>
      </c>
      <c r="K451">
        <v>3</v>
      </c>
      <c r="L451" t="s">
        <v>4292</v>
      </c>
      <c r="M451" s="3" t="s">
        <v>4278</v>
      </c>
      <c r="N451">
        <v>759.15</v>
      </c>
    </row>
    <row r="452" spans="1:14" x14ac:dyDescent="0.35">
      <c r="A452" t="s">
        <v>464</v>
      </c>
      <c r="B452" t="s">
        <v>4645</v>
      </c>
      <c r="C452" t="s">
        <v>1664</v>
      </c>
      <c r="D452" s="3" t="s">
        <v>2403</v>
      </c>
      <c r="E452">
        <v>5</v>
      </c>
      <c r="F452">
        <v>615.1</v>
      </c>
      <c r="G452" t="s">
        <v>2762</v>
      </c>
      <c r="H452" s="3" t="s">
        <v>3068</v>
      </c>
      <c r="I452" s="3" t="s">
        <v>3072</v>
      </c>
      <c r="J452" t="s">
        <v>3525</v>
      </c>
      <c r="K452">
        <v>10</v>
      </c>
      <c r="L452" t="s">
        <v>4277</v>
      </c>
      <c r="M452" s="3" t="s">
        <v>4278</v>
      </c>
      <c r="N452">
        <v>3075.5</v>
      </c>
    </row>
    <row r="453" spans="1:14" x14ac:dyDescent="0.35">
      <c r="A453" t="s">
        <v>465</v>
      </c>
      <c r="B453" t="s">
        <v>4646</v>
      </c>
      <c r="C453" t="s">
        <v>1665</v>
      </c>
      <c r="D453" s="3" t="s">
        <v>2403</v>
      </c>
      <c r="E453">
        <v>1</v>
      </c>
      <c r="F453">
        <v>183.18</v>
      </c>
      <c r="G453" t="s">
        <v>2507</v>
      </c>
      <c r="H453" s="3" t="s">
        <v>3065</v>
      </c>
      <c r="I453" s="3" t="s">
        <v>3071</v>
      </c>
      <c r="J453" t="s">
        <v>3526</v>
      </c>
      <c r="K453">
        <v>6</v>
      </c>
      <c r="L453" t="s">
        <v>4275</v>
      </c>
      <c r="M453" s="3" t="s">
        <v>4280</v>
      </c>
      <c r="N453">
        <v>183.18</v>
      </c>
    </row>
    <row r="454" spans="1:14" x14ac:dyDescent="0.35">
      <c r="A454" t="s">
        <v>466</v>
      </c>
      <c r="B454" t="s">
        <v>4647</v>
      </c>
      <c r="C454" t="s">
        <v>1666</v>
      </c>
      <c r="D454" s="3" t="s">
        <v>2407</v>
      </c>
      <c r="E454">
        <v>1</v>
      </c>
      <c r="F454">
        <v>75.78</v>
      </c>
      <c r="G454" t="s">
        <v>2763</v>
      </c>
      <c r="H454" s="3" t="s">
        <v>3069</v>
      </c>
      <c r="I454" s="3" t="s">
        <v>3074</v>
      </c>
      <c r="J454" t="s">
        <v>3527</v>
      </c>
      <c r="K454">
        <v>5</v>
      </c>
      <c r="L454" t="s">
        <v>4275</v>
      </c>
      <c r="M454" s="3" t="s">
        <v>4282</v>
      </c>
      <c r="N454">
        <v>75.78</v>
      </c>
    </row>
    <row r="455" spans="1:14" x14ac:dyDescent="0.35">
      <c r="A455" t="s">
        <v>467</v>
      </c>
      <c r="B455" t="s">
        <v>4485</v>
      </c>
      <c r="C455" t="s">
        <v>1667</v>
      </c>
      <c r="D455" s="3" t="s">
        <v>2405</v>
      </c>
      <c r="E455">
        <v>1</v>
      </c>
      <c r="F455">
        <v>675.57</v>
      </c>
      <c r="G455" t="s">
        <v>2764</v>
      </c>
      <c r="H455" s="3" t="s">
        <v>3069</v>
      </c>
      <c r="I455" s="3" t="s">
        <v>3070</v>
      </c>
      <c r="J455" t="s">
        <v>3528</v>
      </c>
      <c r="K455">
        <v>1</v>
      </c>
      <c r="L455" t="s">
        <v>4277</v>
      </c>
      <c r="M455" s="3" t="s">
        <v>4281</v>
      </c>
      <c r="N455">
        <v>675.57</v>
      </c>
    </row>
    <row r="456" spans="1:14" x14ac:dyDescent="0.35">
      <c r="A456" t="s">
        <v>468</v>
      </c>
      <c r="B456" t="s">
        <v>4648</v>
      </c>
      <c r="C456" t="s">
        <v>1668</v>
      </c>
      <c r="D456" s="3" t="s">
        <v>2408</v>
      </c>
      <c r="E456">
        <v>1</v>
      </c>
      <c r="F456">
        <v>109.29</v>
      </c>
      <c r="G456" t="s">
        <v>2765</v>
      </c>
      <c r="H456" s="3" t="s">
        <v>3065</v>
      </c>
      <c r="I456" s="3" t="s">
        <v>3071</v>
      </c>
      <c r="J456" t="s">
        <v>3529</v>
      </c>
      <c r="K456">
        <v>5</v>
      </c>
      <c r="L456" t="s">
        <v>4276</v>
      </c>
      <c r="M456" s="3" t="s">
        <v>4282</v>
      </c>
      <c r="N456">
        <v>109.29</v>
      </c>
    </row>
    <row r="457" spans="1:14" x14ac:dyDescent="0.35">
      <c r="A457" t="s">
        <v>469</v>
      </c>
      <c r="B457" t="s">
        <v>4574</v>
      </c>
      <c r="C457" t="s">
        <v>1669</v>
      </c>
      <c r="D457" s="3" t="s">
        <v>2404</v>
      </c>
      <c r="E457">
        <v>1</v>
      </c>
      <c r="F457">
        <v>639.83000000000004</v>
      </c>
      <c r="G457" t="s">
        <v>2766</v>
      </c>
      <c r="H457" s="3" t="s">
        <v>3065</v>
      </c>
      <c r="I457" s="3" t="s">
        <v>3074</v>
      </c>
      <c r="J457" t="s">
        <v>3530</v>
      </c>
      <c r="K457">
        <v>2</v>
      </c>
      <c r="L457" t="s">
        <v>4275</v>
      </c>
      <c r="M457" s="3" t="s">
        <v>4279</v>
      </c>
      <c r="N457">
        <v>639.83000000000004</v>
      </c>
    </row>
    <row r="458" spans="1:14" x14ac:dyDescent="0.35">
      <c r="A458" t="s">
        <v>470</v>
      </c>
      <c r="B458" t="s">
        <v>4649</v>
      </c>
      <c r="C458" t="s">
        <v>1670</v>
      </c>
      <c r="D458" s="3" t="s">
        <v>2409</v>
      </c>
      <c r="E458">
        <v>5</v>
      </c>
      <c r="F458">
        <v>62.81</v>
      </c>
      <c r="G458" t="s">
        <v>2698</v>
      </c>
      <c r="H458" s="3" t="s">
        <v>3067</v>
      </c>
      <c r="I458" s="3" t="s">
        <v>3070</v>
      </c>
      <c r="J458" t="s">
        <v>3531</v>
      </c>
      <c r="K458">
        <v>9</v>
      </c>
      <c r="L458" t="s">
        <v>4275</v>
      </c>
      <c r="M458" s="3" t="s">
        <v>4281</v>
      </c>
      <c r="N458">
        <v>314.05</v>
      </c>
    </row>
    <row r="459" spans="1:14" x14ac:dyDescent="0.35">
      <c r="A459" t="s">
        <v>471</v>
      </c>
      <c r="B459" t="s">
        <v>4650</v>
      </c>
      <c r="C459" t="s">
        <v>1671</v>
      </c>
      <c r="D459" s="3" t="s">
        <v>2409</v>
      </c>
      <c r="E459">
        <v>4</v>
      </c>
      <c r="F459">
        <v>615.83000000000004</v>
      </c>
      <c r="G459" t="s">
        <v>2767</v>
      </c>
      <c r="H459" s="3" t="s">
        <v>3066</v>
      </c>
      <c r="I459" s="3" t="s">
        <v>3072</v>
      </c>
      <c r="J459" t="s">
        <v>3532</v>
      </c>
      <c r="K459">
        <v>4</v>
      </c>
      <c r="L459" t="s">
        <v>4277</v>
      </c>
      <c r="M459" s="3" t="s">
        <v>4278</v>
      </c>
      <c r="N459">
        <v>2463.3200000000002</v>
      </c>
    </row>
    <row r="460" spans="1:14" x14ac:dyDescent="0.35">
      <c r="A460" t="s">
        <v>472</v>
      </c>
      <c r="B460" t="s">
        <v>4651</v>
      </c>
      <c r="C460" t="s">
        <v>1672</v>
      </c>
      <c r="D460" s="3" t="s">
        <v>2403</v>
      </c>
      <c r="E460">
        <v>4</v>
      </c>
      <c r="F460">
        <v>510.58</v>
      </c>
      <c r="G460" t="s">
        <v>2495</v>
      </c>
      <c r="H460" s="3" t="s">
        <v>3067</v>
      </c>
      <c r="I460" s="3" t="s">
        <v>3072</v>
      </c>
      <c r="J460" t="s">
        <v>3533</v>
      </c>
      <c r="K460">
        <v>7</v>
      </c>
      <c r="L460" t="s">
        <v>4277</v>
      </c>
      <c r="M460" s="3" t="s">
        <v>4280</v>
      </c>
      <c r="N460">
        <v>2042.32</v>
      </c>
    </row>
    <row r="461" spans="1:14" x14ac:dyDescent="0.35">
      <c r="A461" t="s">
        <v>473</v>
      </c>
      <c r="B461" t="s">
        <v>4309</v>
      </c>
      <c r="C461" t="s">
        <v>1673</v>
      </c>
      <c r="D461" s="3" t="s">
        <v>2409</v>
      </c>
      <c r="E461">
        <v>1</v>
      </c>
      <c r="F461">
        <v>334.39</v>
      </c>
      <c r="G461" t="s">
        <v>2749</v>
      </c>
      <c r="H461" s="3" t="s">
        <v>3067</v>
      </c>
      <c r="I461" s="3" t="s">
        <v>3072</v>
      </c>
      <c r="J461" t="s">
        <v>3534</v>
      </c>
      <c r="K461">
        <v>2</v>
      </c>
      <c r="L461" t="s">
        <v>4292</v>
      </c>
      <c r="M461" s="3" t="s">
        <v>4278</v>
      </c>
      <c r="N461">
        <v>334.39</v>
      </c>
    </row>
    <row r="462" spans="1:14" x14ac:dyDescent="0.35">
      <c r="A462" t="s">
        <v>474</v>
      </c>
      <c r="B462" t="s">
        <v>4638</v>
      </c>
      <c r="C462" t="s">
        <v>1674</v>
      </c>
      <c r="D462" s="3" t="s">
        <v>2408</v>
      </c>
      <c r="E462">
        <v>1</v>
      </c>
      <c r="F462">
        <v>144.25</v>
      </c>
      <c r="G462" t="s">
        <v>2768</v>
      </c>
      <c r="H462" s="3" t="s">
        <v>3069</v>
      </c>
      <c r="I462" s="3" t="s">
        <v>3072</v>
      </c>
      <c r="J462" t="s">
        <v>3535</v>
      </c>
      <c r="K462">
        <v>2</v>
      </c>
      <c r="L462" t="s">
        <v>4277</v>
      </c>
      <c r="M462" s="3" t="s">
        <v>4279</v>
      </c>
      <c r="N462">
        <v>144.25</v>
      </c>
    </row>
    <row r="463" spans="1:14" x14ac:dyDescent="0.35">
      <c r="A463" t="s">
        <v>475</v>
      </c>
      <c r="B463" t="s">
        <v>4464</v>
      </c>
      <c r="C463" t="s">
        <v>1675</v>
      </c>
      <c r="D463" s="3" t="s">
        <v>2405</v>
      </c>
      <c r="E463">
        <v>1</v>
      </c>
      <c r="F463">
        <v>401.82</v>
      </c>
      <c r="G463" t="s">
        <v>2618</v>
      </c>
      <c r="H463" s="3" t="s">
        <v>3067</v>
      </c>
      <c r="I463" s="3" t="s">
        <v>3070</v>
      </c>
      <c r="J463" t="s">
        <v>3536</v>
      </c>
      <c r="K463">
        <v>5</v>
      </c>
      <c r="L463" t="s">
        <v>4276</v>
      </c>
      <c r="M463" s="3" t="s">
        <v>4282</v>
      </c>
      <c r="N463">
        <v>401.82</v>
      </c>
    </row>
    <row r="464" spans="1:14" x14ac:dyDescent="0.35">
      <c r="A464" t="s">
        <v>476</v>
      </c>
      <c r="B464" t="s">
        <v>4652</v>
      </c>
      <c r="C464" t="s">
        <v>1676</v>
      </c>
      <c r="D464" s="3" t="s">
        <v>2404</v>
      </c>
      <c r="E464">
        <v>1</v>
      </c>
      <c r="F464">
        <v>252.68</v>
      </c>
      <c r="G464" t="s">
        <v>2769</v>
      </c>
      <c r="H464" s="3" t="s">
        <v>3066</v>
      </c>
      <c r="I464" s="3" t="s">
        <v>3071</v>
      </c>
      <c r="J464" t="s">
        <v>3537</v>
      </c>
      <c r="K464">
        <v>1</v>
      </c>
      <c r="L464" t="s">
        <v>4292</v>
      </c>
      <c r="M464" s="3" t="s">
        <v>4279</v>
      </c>
      <c r="N464">
        <v>252.68</v>
      </c>
    </row>
    <row r="465" spans="1:14" x14ac:dyDescent="0.35">
      <c r="A465" t="s">
        <v>477</v>
      </c>
      <c r="B465" t="s">
        <v>4352</v>
      </c>
      <c r="C465" t="s">
        <v>1677</v>
      </c>
      <c r="D465" s="3" t="s">
        <v>2408</v>
      </c>
      <c r="E465">
        <v>5</v>
      </c>
      <c r="F465">
        <v>662.78</v>
      </c>
      <c r="G465" t="s">
        <v>2770</v>
      </c>
      <c r="H465" s="3" t="s">
        <v>3065</v>
      </c>
      <c r="I465" s="3" t="s">
        <v>3070</v>
      </c>
      <c r="J465" t="s">
        <v>3538</v>
      </c>
      <c r="K465">
        <v>9</v>
      </c>
      <c r="L465" t="s">
        <v>4275</v>
      </c>
      <c r="M465" s="3" t="s">
        <v>4278</v>
      </c>
      <c r="N465">
        <v>3313.9</v>
      </c>
    </row>
    <row r="466" spans="1:14" x14ac:dyDescent="0.35">
      <c r="A466" t="s">
        <v>478</v>
      </c>
      <c r="B466" t="s">
        <v>4653</v>
      </c>
      <c r="C466" t="s">
        <v>1678</v>
      </c>
      <c r="D466" s="3" t="s">
        <v>2405</v>
      </c>
      <c r="E466">
        <v>4</v>
      </c>
      <c r="F466">
        <v>434.42</v>
      </c>
      <c r="G466" t="s">
        <v>2771</v>
      </c>
      <c r="H466" s="3" t="s">
        <v>3066</v>
      </c>
      <c r="I466" s="3" t="s">
        <v>3071</v>
      </c>
      <c r="J466" t="s">
        <v>3539</v>
      </c>
      <c r="K466">
        <v>6</v>
      </c>
      <c r="L466" t="s">
        <v>4276</v>
      </c>
      <c r="M466" s="3" t="s">
        <v>4282</v>
      </c>
      <c r="N466">
        <v>1737.68</v>
      </c>
    </row>
    <row r="467" spans="1:14" x14ac:dyDescent="0.35">
      <c r="A467" t="s">
        <v>479</v>
      </c>
      <c r="B467" t="s">
        <v>4519</v>
      </c>
      <c r="C467" t="s">
        <v>1679</v>
      </c>
      <c r="D467" s="3" t="s">
        <v>2407</v>
      </c>
      <c r="E467">
        <v>5</v>
      </c>
      <c r="F467">
        <v>513.49</v>
      </c>
      <c r="G467" t="s">
        <v>2772</v>
      </c>
      <c r="H467" s="3" t="s">
        <v>3068</v>
      </c>
      <c r="I467" s="3" t="s">
        <v>3071</v>
      </c>
      <c r="J467" t="s">
        <v>3540</v>
      </c>
      <c r="K467">
        <v>8</v>
      </c>
      <c r="L467" t="s">
        <v>4292</v>
      </c>
      <c r="M467" s="3" t="s">
        <v>4282</v>
      </c>
      <c r="N467">
        <v>2567.4499999999998</v>
      </c>
    </row>
    <row r="468" spans="1:14" x14ac:dyDescent="0.35">
      <c r="A468" t="s">
        <v>480</v>
      </c>
      <c r="B468" t="s">
        <v>4486</v>
      </c>
      <c r="C468" t="s">
        <v>1680</v>
      </c>
      <c r="D468" s="3" t="s">
        <v>2404</v>
      </c>
      <c r="E468">
        <v>1</v>
      </c>
      <c r="F468">
        <v>432.47</v>
      </c>
      <c r="G468" t="s">
        <v>2440</v>
      </c>
      <c r="H468" s="3" t="s">
        <v>3069</v>
      </c>
      <c r="I468" s="3" t="s">
        <v>3073</v>
      </c>
      <c r="J468" t="s">
        <v>3541</v>
      </c>
      <c r="K468">
        <v>4</v>
      </c>
      <c r="L468" t="s">
        <v>4276</v>
      </c>
      <c r="M468" s="3" t="s">
        <v>4279</v>
      </c>
      <c r="N468">
        <v>432.47</v>
      </c>
    </row>
    <row r="469" spans="1:14" x14ac:dyDescent="0.35">
      <c r="A469" t="s">
        <v>481</v>
      </c>
      <c r="B469" t="s">
        <v>4509</v>
      </c>
      <c r="C469" t="s">
        <v>1681</v>
      </c>
      <c r="D469" s="3" t="s">
        <v>2409</v>
      </c>
      <c r="E469">
        <v>1</v>
      </c>
      <c r="F469">
        <v>45.94</v>
      </c>
      <c r="G469" t="s">
        <v>2577</v>
      </c>
      <c r="H469" s="3" t="s">
        <v>3069</v>
      </c>
      <c r="I469" s="3" t="s">
        <v>3071</v>
      </c>
      <c r="J469" t="s">
        <v>3542</v>
      </c>
      <c r="K469">
        <v>2</v>
      </c>
      <c r="L469" t="s">
        <v>4277</v>
      </c>
      <c r="M469" s="3" t="s">
        <v>4280</v>
      </c>
      <c r="N469">
        <v>45.94</v>
      </c>
    </row>
    <row r="470" spans="1:14" x14ac:dyDescent="0.35">
      <c r="A470" t="s">
        <v>482</v>
      </c>
      <c r="B470" t="s">
        <v>4654</v>
      </c>
      <c r="C470" t="s">
        <v>1682</v>
      </c>
      <c r="D470" s="3" t="s">
        <v>2404</v>
      </c>
      <c r="E470">
        <v>1</v>
      </c>
      <c r="F470">
        <v>418.36</v>
      </c>
      <c r="G470" t="s">
        <v>2773</v>
      </c>
      <c r="H470" s="3" t="s">
        <v>3067</v>
      </c>
      <c r="I470" s="3" t="s">
        <v>3073</v>
      </c>
      <c r="J470" t="s">
        <v>3543</v>
      </c>
      <c r="K470">
        <v>5</v>
      </c>
      <c r="L470" t="s">
        <v>4276</v>
      </c>
      <c r="M470" s="3" t="s">
        <v>4280</v>
      </c>
      <c r="N470">
        <v>418.36</v>
      </c>
    </row>
    <row r="471" spans="1:14" x14ac:dyDescent="0.35">
      <c r="A471" t="s">
        <v>483</v>
      </c>
      <c r="B471" t="s">
        <v>4655</v>
      </c>
      <c r="C471" t="s">
        <v>1683</v>
      </c>
      <c r="D471" s="3" t="s">
        <v>2406</v>
      </c>
      <c r="E471">
        <v>5</v>
      </c>
      <c r="F471">
        <v>676.98</v>
      </c>
      <c r="G471" t="s">
        <v>2546</v>
      </c>
      <c r="H471" s="3" t="s">
        <v>3069</v>
      </c>
      <c r="I471" s="3" t="s">
        <v>3071</v>
      </c>
      <c r="J471" t="s">
        <v>3544</v>
      </c>
      <c r="K471">
        <v>5</v>
      </c>
      <c r="L471" t="s">
        <v>4292</v>
      </c>
      <c r="M471" s="3" t="s">
        <v>4281</v>
      </c>
      <c r="N471">
        <v>3384.9</v>
      </c>
    </row>
    <row r="472" spans="1:14" x14ac:dyDescent="0.35">
      <c r="A472" t="s">
        <v>484</v>
      </c>
      <c r="B472" t="s">
        <v>4656</v>
      </c>
      <c r="C472" t="s">
        <v>1684</v>
      </c>
      <c r="D472" s="3" t="s">
        <v>2405</v>
      </c>
      <c r="E472">
        <v>4</v>
      </c>
      <c r="F472">
        <v>263.62</v>
      </c>
      <c r="G472" t="s">
        <v>2774</v>
      </c>
      <c r="H472" s="3" t="s">
        <v>3069</v>
      </c>
      <c r="I472" s="3" t="s">
        <v>3070</v>
      </c>
      <c r="J472" t="s">
        <v>3545</v>
      </c>
      <c r="K472">
        <v>5</v>
      </c>
      <c r="L472" t="s">
        <v>4275</v>
      </c>
      <c r="M472" s="3" t="s">
        <v>4280</v>
      </c>
      <c r="N472">
        <v>1054.48</v>
      </c>
    </row>
    <row r="473" spans="1:14" x14ac:dyDescent="0.35">
      <c r="A473" t="s">
        <v>485</v>
      </c>
      <c r="B473" t="s">
        <v>4657</v>
      </c>
      <c r="C473" t="s">
        <v>1685</v>
      </c>
      <c r="D473" s="3" t="s">
        <v>2409</v>
      </c>
      <c r="E473">
        <v>5</v>
      </c>
      <c r="F473">
        <v>551.27</v>
      </c>
      <c r="G473" t="s">
        <v>2775</v>
      </c>
      <c r="H473" s="3" t="s">
        <v>3066</v>
      </c>
      <c r="I473" s="3" t="s">
        <v>3071</v>
      </c>
      <c r="J473" t="s">
        <v>3546</v>
      </c>
      <c r="K473">
        <v>7</v>
      </c>
      <c r="L473" t="s">
        <v>4276</v>
      </c>
      <c r="M473" s="3" t="s">
        <v>4279</v>
      </c>
      <c r="N473">
        <v>2756.35</v>
      </c>
    </row>
    <row r="474" spans="1:14" x14ac:dyDescent="0.35">
      <c r="A474" t="s">
        <v>486</v>
      </c>
      <c r="B474" t="s">
        <v>4658</v>
      </c>
      <c r="C474" t="s">
        <v>1686</v>
      </c>
      <c r="D474" s="3" t="s">
        <v>2406</v>
      </c>
      <c r="E474">
        <v>3</v>
      </c>
      <c r="F474">
        <v>508.12</v>
      </c>
      <c r="G474" t="s">
        <v>2776</v>
      </c>
      <c r="H474" s="3" t="s">
        <v>3067</v>
      </c>
      <c r="I474" s="3" t="s">
        <v>3071</v>
      </c>
      <c r="J474" t="s">
        <v>3547</v>
      </c>
      <c r="K474">
        <v>8</v>
      </c>
      <c r="L474" t="s">
        <v>4276</v>
      </c>
      <c r="M474" s="3" t="s">
        <v>4279</v>
      </c>
      <c r="N474">
        <v>1524.36</v>
      </c>
    </row>
    <row r="475" spans="1:14" x14ac:dyDescent="0.35">
      <c r="A475" t="s">
        <v>487</v>
      </c>
      <c r="B475" t="s">
        <v>4370</v>
      </c>
      <c r="C475" t="s">
        <v>1687</v>
      </c>
      <c r="D475" s="3" t="s">
        <v>2406</v>
      </c>
      <c r="E475">
        <v>2</v>
      </c>
      <c r="F475">
        <v>14.93</v>
      </c>
      <c r="G475" t="s">
        <v>2777</v>
      </c>
      <c r="H475" s="3" t="s">
        <v>3066</v>
      </c>
      <c r="I475" s="3" t="s">
        <v>3070</v>
      </c>
      <c r="J475" t="s">
        <v>3548</v>
      </c>
      <c r="K475">
        <v>4</v>
      </c>
      <c r="L475" t="s">
        <v>4292</v>
      </c>
      <c r="M475" s="3" t="s">
        <v>4281</v>
      </c>
      <c r="N475">
        <v>29.86</v>
      </c>
    </row>
    <row r="476" spans="1:14" x14ac:dyDescent="0.35">
      <c r="A476" t="s">
        <v>488</v>
      </c>
      <c r="B476" t="s">
        <v>4659</v>
      </c>
      <c r="C476" t="s">
        <v>1688</v>
      </c>
      <c r="D476" s="3" t="s">
        <v>2407</v>
      </c>
      <c r="E476">
        <v>3</v>
      </c>
      <c r="F476">
        <v>229.34</v>
      </c>
      <c r="G476" t="s">
        <v>2692</v>
      </c>
      <c r="H476" s="3" t="s">
        <v>3067</v>
      </c>
      <c r="I476" s="3" t="s">
        <v>3070</v>
      </c>
      <c r="J476" t="s">
        <v>3549</v>
      </c>
      <c r="K476">
        <v>6</v>
      </c>
      <c r="L476" t="s">
        <v>4275</v>
      </c>
      <c r="M476" s="3" t="s">
        <v>4279</v>
      </c>
      <c r="N476">
        <v>688.02</v>
      </c>
    </row>
    <row r="477" spans="1:14" x14ac:dyDescent="0.35">
      <c r="A477" t="s">
        <v>489</v>
      </c>
      <c r="B477" t="s">
        <v>4657</v>
      </c>
      <c r="C477" t="s">
        <v>1689</v>
      </c>
      <c r="D477" s="3" t="s">
        <v>2405</v>
      </c>
      <c r="E477">
        <v>2</v>
      </c>
      <c r="F477">
        <v>438.62</v>
      </c>
      <c r="G477" t="s">
        <v>2778</v>
      </c>
      <c r="H477" s="3" t="s">
        <v>3069</v>
      </c>
      <c r="I477" s="3" t="s">
        <v>3071</v>
      </c>
      <c r="J477" t="s">
        <v>3550</v>
      </c>
      <c r="K477">
        <v>3</v>
      </c>
      <c r="L477" t="s">
        <v>4275</v>
      </c>
      <c r="M477" s="3" t="s">
        <v>4281</v>
      </c>
      <c r="N477">
        <v>877.24</v>
      </c>
    </row>
    <row r="478" spans="1:14" x14ac:dyDescent="0.35">
      <c r="A478" t="s">
        <v>490</v>
      </c>
      <c r="B478" t="s">
        <v>4645</v>
      </c>
      <c r="C478" t="s">
        <v>1690</v>
      </c>
      <c r="D478" s="3" t="s">
        <v>2404</v>
      </c>
      <c r="E478">
        <v>2</v>
      </c>
      <c r="F478">
        <v>513.59</v>
      </c>
      <c r="G478" t="s">
        <v>2779</v>
      </c>
      <c r="H478" s="3" t="s">
        <v>3066</v>
      </c>
      <c r="I478" s="3" t="s">
        <v>3072</v>
      </c>
      <c r="J478" t="s">
        <v>3551</v>
      </c>
      <c r="K478">
        <v>4</v>
      </c>
      <c r="L478" t="s">
        <v>4276</v>
      </c>
      <c r="M478" s="3" t="s">
        <v>4279</v>
      </c>
      <c r="N478">
        <v>1027.18</v>
      </c>
    </row>
    <row r="479" spans="1:14" x14ac:dyDescent="0.35">
      <c r="A479" t="s">
        <v>491</v>
      </c>
      <c r="B479" t="s">
        <v>4660</v>
      </c>
      <c r="C479" t="s">
        <v>1691</v>
      </c>
      <c r="D479" s="3" t="s">
        <v>2404</v>
      </c>
      <c r="E479">
        <v>2</v>
      </c>
      <c r="F479">
        <v>253.74</v>
      </c>
      <c r="G479" t="s">
        <v>2780</v>
      </c>
      <c r="H479" s="3" t="s">
        <v>3066</v>
      </c>
      <c r="I479" s="3" t="s">
        <v>3070</v>
      </c>
      <c r="J479" t="s">
        <v>3552</v>
      </c>
      <c r="K479">
        <v>5</v>
      </c>
      <c r="L479" t="s">
        <v>4275</v>
      </c>
      <c r="M479" s="3" t="s">
        <v>4282</v>
      </c>
      <c r="N479">
        <v>507.48</v>
      </c>
    </row>
    <row r="480" spans="1:14" x14ac:dyDescent="0.35">
      <c r="A480" t="s">
        <v>492</v>
      </c>
      <c r="B480" t="s">
        <v>4661</v>
      </c>
      <c r="C480" t="s">
        <v>1692</v>
      </c>
      <c r="D480" s="3" t="s">
        <v>2405</v>
      </c>
      <c r="E480">
        <v>3</v>
      </c>
      <c r="F480">
        <v>62.77</v>
      </c>
      <c r="G480" t="s">
        <v>2426</v>
      </c>
      <c r="H480" s="3" t="s">
        <v>3068</v>
      </c>
      <c r="I480" s="3" t="s">
        <v>3070</v>
      </c>
      <c r="J480" t="s">
        <v>3553</v>
      </c>
      <c r="K480">
        <v>6</v>
      </c>
      <c r="L480" t="s">
        <v>4276</v>
      </c>
      <c r="M480" s="3" t="s">
        <v>4279</v>
      </c>
      <c r="N480">
        <v>188.31</v>
      </c>
    </row>
    <row r="481" spans="1:14" x14ac:dyDescent="0.35">
      <c r="A481" t="s">
        <v>493</v>
      </c>
      <c r="B481" t="s">
        <v>4662</v>
      </c>
      <c r="C481" t="s">
        <v>1693</v>
      </c>
      <c r="D481" s="3" t="s">
        <v>2403</v>
      </c>
      <c r="E481">
        <v>4</v>
      </c>
      <c r="F481">
        <v>25.29</v>
      </c>
      <c r="G481" t="s">
        <v>2781</v>
      </c>
      <c r="H481" s="3" t="s">
        <v>3067</v>
      </c>
      <c r="I481" s="3" t="s">
        <v>3074</v>
      </c>
      <c r="J481" t="s">
        <v>3554</v>
      </c>
      <c r="K481">
        <v>8</v>
      </c>
      <c r="L481" t="s">
        <v>4292</v>
      </c>
      <c r="M481" s="3" t="s">
        <v>4282</v>
      </c>
      <c r="N481">
        <v>101.16</v>
      </c>
    </row>
    <row r="482" spans="1:14" x14ac:dyDescent="0.35">
      <c r="A482" t="s">
        <v>494</v>
      </c>
      <c r="B482" t="s">
        <v>4663</v>
      </c>
      <c r="C482" t="s">
        <v>1694</v>
      </c>
      <c r="D482" s="3" t="s">
        <v>2406</v>
      </c>
      <c r="E482">
        <v>1</v>
      </c>
      <c r="F482">
        <v>335.1</v>
      </c>
      <c r="G482" t="s">
        <v>2509</v>
      </c>
      <c r="H482" s="3" t="s">
        <v>3065</v>
      </c>
      <c r="I482" s="3" t="s">
        <v>3074</v>
      </c>
      <c r="J482" t="s">
        <v>3555</v>
      </c>
      <c r="K482">
        <v>6</v>
      </c>
      <c r="L482" t="s">
        <v>4276</v>
      </c>
      <c r="M482" s="3" t="s">
        <v>4279</v>
      </c>
      <c r="N482">
        <v>335.1</v>
      </c>
    </row>
    <row r="483" spans="1:14" x14ac:dyDescent="0.35">
      <c r="A483" t="s">
        <v>495</v>
      </c>
      <c r="B483" t="s">
        <v>4579</v>
      </c>
      <c r="C483" t="s">
        <v>1695</v>
      </c>
      <c r="D483" s="3" t="s">
        <v>2408</v>
      </c>
      <c r="E483">
        <v>4</v>
      </c>
      <c r="F483">
        <v>484.85</v>
      </c>
      <c r="G483" t="s">
        <v>2596</v>
      </c>
      <c r="H483" s="3" t="s">
        <v>3065</v>
      </c>
      <c r="I483" s="3" t="s">
        <v>3073</v>
      </c>
      <c r="J483" t="s">
        <v>3556</v>
      </c>
      <c r="K483">
        <v>5</v>
      </c>
      <c r="L483" t="s">
        <v>4277</v>
      </c>
      <c r="M483" s="3" t="s">
        <v>4279</v>
      </c>
      <c r="N483">
        <v>1939.4</v>
      </c>
    </row>
    <row r="484" spans="1:14" x14ac:dyDescent="0.35">
      <c r="A484" t="s">
        <v>496</v>
      </c>
      <c r="B484" t="s">
        <v>4664</v>
      </c>
      <c r="C484" t="s">
        <v>1696</v>
      </c>
      <c r="D484" s="3" t="s">
        <v>2403</v>
      </c>
      <c r="E484">
        <v>3</v>
      </c>
      <c r="F484">
        <v>381.41</v>
      </c>
      <c r="G484" t="s">
        <v>2487</v>
      </c>
      <c r="H484" s="3" t="s">
        <v>3066</v>
      </c>
      <c r="I484" s="3" t="s">
        <v>3074</v>
      </c>
      <c r="J484" t="s">
        <v>3557</v>
      </c>
      <c r="K484">
        <v>6</v>
      </c>
      <c r="L484" t="s">
        <v>4292</v>
      </c>
      <c r="M484" s="3" t="s">
        <v>4278</v>
      </c>
      <c r="N484">
        <v>1144.23</v>
      </c>
    </row>
    <row r="485" spans="1:14" x14ac:dyDescent="0.35">
      <c r="A485" t="s">
        <v>497</v>
      </c>
      <c r="B485" t="s">
        <v>4665</v>
      </c>
      <c r="C485" t="s">
        <v>1697</v>
      </c>
      <c r="D485" s="3" t="s">
        <v>2404</v>
      </c>
      <c r="E485">
        <v>5</v>
      </c>
      <c r="F485">
        <v>347.92</v>
      </c>
      <c r="G485" t="s">
        <v>2782</v>
      </c>
      <c r="H485" s="3" t="s">
        <v>3069</v>
      </c>
      <c r="I485" s="3" t="s">
        <v>3074</v>
      </c>
      <c r="J485" t="s">
        <v>3558</v>
      </c>
      <c r="K485">
        <v>6</v>
      </c>
      <c r="L485" t="s">
        <v>4277</v>
      </c>
      <c r="M485" s="3" t="s">
        <v>4282</v>
      </c>
      <c r="N485">
        <v>1739.6</v>
      </c>
    </row>
    <row r="486" spans="1:14" x14ac:dyDescent="0.35">
      <c r="A486" t="s">
        <v>498</v>
      </c>
      <c r="B486" t="s">
        <v>4666</v>
      </c>
      <c r="C486" t="s">
        <v>1698</v>
      </c>
      <c r="D486" s="3" t="s">
        <v>2406</v>
      </c>
      <c r="E486">
        <v>4</v>
      </c>
      <c r="F486">
        <v>15.01</v>
      </c>
      <c r="G486" t="s">
        <v>2736</v>
      </c>
      <c r="H486" s="3" t="s">
        <v>3069</v>
      </c>
      <c r="I486" s="3" t="s">
        <v>3071</v>
      </c>
      <c r="J486" t="s">
        <v>3559</v>
      </c>
      <c r="K486">
        <v>6</v>
      </c>
      <c r="L486" t="s">
        <v>4292</v>
      </c>
      <c r="M486" s="3" t="s">
        <v>4281</v>
      </c>
      <c r="N486">
        <v>60.04</v>
      </c>
    </row>
    <row r="487" spans="1:14" x14ac:dyDescent="0.35">
      <c r="A487" t="s">
        <v>499</v>
      </c>
      <c r="B487" t="s">
        <v>4667</v>
      </c>
      <c r="C487" t="s">
        <v>1699</v>
      </c>
      <c r="D487" s="3" t="s">
        <v>2406</v>
      </c>
      <c r="E487">
        <v>3</v>
      </c>
      <c r="F487">
        <v>404.79</v>
      </c>
      <c r="G487" t="s">
        <v>2783</v>
      </c>
      <c r="H487" s="3" t="s">
        <v>3069</v>
      </c>
      <c r="I487" s="3" t="s">
        <v>3070</v>
      </c>
      <c r="J487" t="s">
        <v>3560</v>
      </c>
      <c r="K487">
        <v>6</v>
      </c>
      <c r="L487" t="s">
        <v>4275</v>
      </c>
      <c r="M487" s="3" t="s">
        <v>4278</v>
      </c>
      <c r="N487">
        <v>1214.3699999999999</v>
      </c>
    </row>
    <row r="488" spans="1:14" x14ac:dyDescent="0.35">
      <c r="A488" t="s">
        <v>500</v>
      </c>
      <c r="B488" t="s">
        <v>4668</v>
      </c>
      <c r="C488" t="s">
        <v>1700</v>
      </c>
      <c r="D488" s="3" t="s">
        <v>2407</v>
      </c>
      <c r="E488">
        <v>4</v>
      </c>
      <c r="F488">
        <v>611.26</v>
      </c>
      <c r="G488" t="s">
        <v>2727</v>
      </c>
      <c r="H488" s="3" t="s">
        <v>3069</v>
      </c>
      <c r="I488" s="3" t="s">
        <v>3070</v>
      </c>
      <c r="J488" t="s">
        <v>3561</v>
      </c>
      <c r="K488">
        <v>5</v>
      </c>
      <c r="L488" t="s">
        <v>4275</v>
      </c>
      <c r="M488" s="3" t="s">
        <v>4279</v>
      </c>
      <c r="N488">
        <v>2445.04</v>
      </c>
    </row>
    <row r="489" spans="1:14" x14ac:dyDescent="0.35">
      <c r="A489" t="s">
        <v>501</v>
      </c>
      <c r="B489" t="s">
        <v>4622</v>
      </c>
      <c r="C489" t="s">
        <v>1701</v>
      </c>
      <c r="D489" s="3" t="s">
        <v>2407</v>
      </c>
      <c r="E489">
        <v>3</v>
      </c>
      <c r="F489">
        <v>346.52</v>
      </c>
      <c r="G489" t="s">
        <v>2784</v>
      </c>
      <c r="H489" s="3" t="s">
        <v>3067</v>
      </c>
      <c r="I489" s="3" t="s">
        <v>3074</v>
      </c>
      <c r="J489" t="s">
        <v>3562</v>
      </c>
      <c r="K489">
        <v>3</v>
      </c>
      <c r="L489" t="s">
        <v>4275</v>
      </c>
      <c r="M489" s="3" t="s">
        <v>4282</v>
      </c>
      <c r="N489">
        <v>1039.56</v>
      </c>
    </row>
    <row r="490" spans="1:14" x14ac:dyDescent="0.35">
      <c r="A490" t="s">
        <v>502</v>
      </c>
      <c r="B490" t="s">
        <v>4478</v>
      </c>
      <c r="C490" t="s">
        <v>1702</v>
      </c>
      <c r="D490" s="3" t="s">
        <v>2406</v>
      </c>
      <c r="E490">
        <v>1</v>
      </c>
      <c r="F490">
        <v>36.65</v>
      </c>
      <c r="G490" t="s">
        <v>2785</v>
      </c>
      <c r="H490" s="3" t="s">
        <v>3066</v>
      </c>
      <c r="I490" s="3" t="s">
        <v>3071</v>
      </c>
      <c r="J490" t="s">
        <v>3563</v>
      </c>
      <c r="K490">
        <v>1</v>
      </c>
      <c r="L490" t="s">
        <v>4277</v>
      </c>
      <c r="M490" s="3" t="s">
        <v>4280</v>
      </c>
      <c r="N490">
        <v>36.65</v>
      </c>
    </row>
    <row r="491" spans="1:14" x14ac:dyDescent="0.35">
      <c r="A491" t="s">
        <v>503</v>
      </c>
      <c r="B491" t="s">
        <v>4473</v>
      </c>
      <c r="C491" t="s">
        <v>1703</v>
      </c>
      <c r="D491" s="3" t="s">
        <v>2405</v>
      </c>
      <c r="E491">
        <v>3</v>
      </c>
      <c r="F491">
        <v>149.34</v>
      </c>
      <c r="G491" t="s">
        <v>2637</v>
      </c>
      <c r="H491" s="3" t="s">
        <v>3068</v>
      </c>
      <c r="I491" s="3" t="s">
        <v>3071</v>
      </c>
      <c r="J491" t="s">
        <v>3564</v>
      </c>
      <c r="K491">
        <v>7</v>
      </c>
      <c r="L491" t="s">
        <v>4277</v>
      </c>
      <c r="M491" s="3" t="s">
        <v>4280</v>
      </c>
      <c r="N491">
        <v>448.02</v>
      </c>
    </row>
    <row r="492" spans="1:14" x14ac:dyDescent="0.35">
      <c r="A492" t="s">
        <v>504</v>
      </c>
      <c r="B492" t="s">
        <v>4603</v>
      </c>
      <c r="C492" t="s">
        <v>1704</v>
      </c>
      <c r="D492" s="3" t="s">
        <v>2406</v>
      </c>
      <c r="E492">
        <v>5</v>
      </c>
      <c r="F492">
        <v>467.81</v>
      </c>
      <c r="G492" t="s">
        <v>2786</v>
      </c>
      <c r="H492" s="3" t="s">
        <v>3066</v>
      </c>
      <c r="I492" s="3" t="s">
        <v>3071</v>
      </c>
      <c r="J492" t="s">
        <v>3565</v>
      </c>
      <c r="K492">
        <v>10</v>
      </c>
      <c r="L492" t="s">
        <v>4292</v>
      </c>
      <c r="M492" s="3" t="s">
        <v>4281</v>
      </c>
      <c r="N492">
        <v>2339.0500000000002</v>
      </c>
    </row>
    <row r="493" spans="1:14" x14ac:dyDescent="0.35">
      <c r="A493" t="s">
        <v>505</v>
      </c>
      <c r="B493" t="s">
        <v>4598</v>
      </c>
      <c r="C493" t="s">
        <v>1705</v>
      </c>
      <c r="D493" s="3" t="s">
        <v>2404</v>
      </c>
      <c r="E493">
        <v>5</v>
      </c>
      <c r="F493">
        <v>420.7</v>
      </c>
      <c r="G493" t="s">
        <v>2780</v>
      </c>
      <c r="H493" s="3" t="s">
        <v>3069</v>
      </c>
      <c r="I493" s="3" t="s">
        <v>3074</v>
      </c>
      <c r="J493" t="s">
        <v>3566</v>
      </c>
      <c r="K493">
        <v>5</v>
      </c>
      <c r="L493" t="s">
        <v>4277</v>
      </c>
      <c r="M493" s="3" t="s">
        <v>4281</v>
      </c>
      <c r="N493">
        <v>2103.5</v>
      </c>
    </row>
    <row r="494" spans="1:14" x14ac:dyDescent="0.35">
      <c r="A494" t="s">
        <v>506</v>
      </c>
      <c r="B494" t="s">
        <v>4669</v>
      </c>
      <c r="C494" t="s">
        <v>1706</v>
      </c>
      <c r="D494" s="3" t="s">
        <v>2408</v>
      </c>
      <c r="E494">
        <v>5</v>
      </c>
      <c r="F494">
        <v>606.52</v>
      </c>
      <c r="G494" t="s">
        <v>2483</v>
      </c>
      <c r="H494" s="3" t="s">
        <v>3065</v>
      </c>
      <c r="I494" s="3" t="s">
        <v>3070</v>
      </c>
      <c r="J494" t="s">
        <v>3567</v>
      </c>
      <c r="K494">
        <v>6</v>
      </c>
      <c r="L494" t="s">
        <v>4275</v>
      </c>
      <c r="M494" s="3" t="s">
        <v>4278</v>
      </c>
      <c r="N494">
        <v>3032.6</v>
      </c>
    </row>
    <row r="495" spans="1:14" x14ac:dyDescent="0.35">
      <c r="A495" t="s">
        <v>507</v>
      </c>
      <c r="B495" t="s">
        <v>4670</v>
      </c>
      <c r="C495" t="s">
        <v>1707</v>
      </c>
      <c r="D495" s="3" t="s">
        <v>2404</v>
      </c>
      <c r="E495">
        <v>1</v>
      </c>
      <c r="F495">
        <v>420.26</v>
      </c>
      <c r="G495" t="s">
        <v>2787</v>
      </c>
      <c r="H495" s="3" t="s">
        <v>3067</v>
      </c>
      <c r="I495" s="3" t="s">
        <v>3074</v>
      </c>
      <c r="J495" t="s">
        <v>3568</v>
      </c>
      <c r="K495">
        <v>4</v>
      </c>
      <c r="L495" t="s">
        <v>4276</v>
      </c>
      <c r="M495" s="3" t="s">
        <v>4281</v>
      </c>
      <c r="N495">
        <v>420.26</v>
      </c>
    </row>
    <row r="496" spans="1:14" x14ac:dyDescent="0.35">
      <c r="A496" t="s">
        <v>508</v>
      </c>
      <c r="B496" t="s">
        <v>4329</v>
      </c>
      <c r="C496" t="s">
        <v>1708</v>
      </c>
      <c r="D496" s="3" t="s">
        <v>2408</v>
      </c>
      <c r="E496">
        <v>3</v>
      </c>
      <c r="F496">
        <v>505.79</v>
      </c>
      <c r="G496" t="s">
        <v>2788</v>
      </c>
      <c r="H496" s="3" t="s">
        <v>3065</v>
      </c>
      <c r="I496" s="3" t="s">
        <v>3074</v>
      </c>
      <c r="J496" t="s">
        <v>3569</v>
      </c>
      <c r="K496">
        <v>3</v>
      </c>
      <c r="L496" t="s">
        <v>4276</v>
      </c>
      <c r="M496" s="3" t="s">
        <v>4279</v>
      </c>
      <c r="N496">
        <v>1517.37</v>
      </c>
    </row>
    <row r="497" spans="1:14" x14ac:dyDescent="0.35">
      <c r="A497" t="s">
        <v>509</v>
      </c>
      <c r="B497" t="s">
        <v>4369</v>
      </c>
      <c r="C497" t="s">
        <v>1709</v>
      </c>
      <c r="D497" s="3" t="s">
        <v>2404</v>
      </c>
      <c r="E497">
        <v>4</v>
      </c>
      <c r="F497">
        <v>493.73</v>
      </c>
      <c r="G497" t="s">
        <v>2550</v>
      </c>
      <c r="H497" s="3" t="s">
        <v>3065</v>
      </c>
      <c r="I497" s="3" t="s">
        <v>3074</v>
      </c>
      <c r="J497" t="s">
        <v>3570</v>
      </c>
      <c r="K497">
        <v>6</v>
      </c>
      <c r="L497" t="s">
        <v>4275</v>
      </c>
      <c r="M497" s="3" t="s">
        <v>4281</v>
      </c>
      <c r="N497">
        <v>1974.92</v>
      </c>
    </row>
    <row r="498" spans="1:14" x14ac:dyDescent="0.35">
      <c r="A498" t="s">
        <v>510</v>
      </c>
      <c r="B498" t="s">
        <v>4671</v>
      </c>
      <c r="C498" t="s">
        <v>1710</v>
      </c>
      <c r="D498" s="3" t="s">
        <v>2407</v>
      </c>
      <c r="E498">
        <v>3</v>
      </c>
      <c r="F498">
        <v>201.21</v>
      </c>
      <c r="G498" t="s">
        <v>2789</v>
      </c>
      <c r="H498" s="3" t="s">
        <v>3066</v>
      </c>
      <c r="I498" s="3" t="s">
        <v>3071</v>
      </c>
      <c r="J498" t="s">
        <v>3571</v>
      </c>
      <c r="K498">
        <v>3</v>
      </c>
      <c r="L498" t="s">
        <v>4275</v>
      </c>
      <c r="M498" s="3" t="s">
        <v>4282</v>
      </c>
      <c r="N498">
        <v>603.63</v>
      </c>
    </row>
    <row r="499" spans="1:14" x14ac:dyDescent="0.35">
      <c r="A499" t="s">
        <v>511</v>
      </c>
      <c r="B499" t="s">
        <v>4385</v>
      </c>
      <c r="C499" t="s">
        <v>1711</v>
      </c>
      <c r="D499" s="3" t="s">
        <v>2407</v>
      </c>
      <c r="E499">
        <v>3</v>
      </c>
      <c r="F499">
        <v>112.29</v>
      </c>
      <c r="G499" t="s">
        <v>2790</v>
      </c>
      <c r="H499" s="3" t="s">
        <v>3068</v>
      </c>
      <c r="I499" s="3" t="s">
        <v>3070</v>
      </c>
      <c r="J499" t="s">
        <v>3572</v>
      </c>
      <c r="K499">
        <v>6</v>
      </c>
      <c r="L499" t="s">
        <v>4292</v>
      </c>
      <c r="M499" s="3" t="s">
        <v>4282</v>
      </c>
      <c r="N499">
        <v>336.87</v>
      </c>
    </row>
    <row r="500" spans="1:14" x14ac:dyDescent="0.35">
      <c r="A500" t="s">
        <v>512</v>
      </c>
      <c r="B500" t="s">
        <v>4503</v>
      </c>
      <c r="C500" t="s">
        <v>1712</v>
      </c>
      <c r="D500" s="3" t="s">
        <v>2405</v>
      </c>
      <c r="E500">
        <v>4</v>
      </c>
      <c r="F500">
        <v>132.56</v>
      </c>
      <c r="G500" t="s">
        <v>2622</v>
      </c>
      <c r="H500" s="3" t="s">
        <v>3069</v>
      </c>
      <c r="I500" s="3" t="s">
        <v>3072</v>
      </c>
      <c r="J500" t="s">
        <v>3573</v>
      </c>
      <c r="K500">
        <v>8</v>
      </c>
      <c r="L500" t="s">
        <v>4277</v>
      </c>
      <c r="M500" s="3" t="s">
        <v>4278</v>
      </c>
      <c r="N500">
        <v>530.24</v>
      </c>
    </row>
    <row r="501" spans="1:14" x14ac:dyDescent="0.35">
      <c r="A501" t="s">
        <v>513</v>
      </c>
      <c r="B501" t="s">
        <v>4672</v>
      </c>
      <c r="C501" t="s">
        <v>1713</v>
      </c>
      <c r="D501" s="3" t="s">
        <v>2407</v>
      </c>
      <c r="E501">
        <v>3</v>
      </c>
      <c r="F501">
        <v>539.46</v>
      </c>
      <c r="G501" t="s">
        <v>2791</v>
      </c>
      <c r="H501" s="3" t="s">
        <v>3067</v>
      </c>
      <c r="I501" s="3" t="s">
        <v>3070</v>
      </c>
      <c r="J501" t="s">
        <v>3574</v>
      </c>
      <c r="K501">
        <v>4</v>
      </c>
      <c r="L501" t="s">
        <v>4275</v>
      </c>
      <c r="M501" s="3" t="s">
        <v>4281</v>
      </c>
      <c r="N501">
        <v>1618.38</v>
      </c>
    </row>
    <row r="502" spans="1:14" x14ac:dyDescent="0.35">
      <c r="A502" t="s">
        <v>514</v>
      </c>
      <c r="B502" t="s">
        <v>4442</v>
      </c>
      <c r="C502" t="s">
        <v>1714</v>
      </c>
      <c r="D502" s="3" t="s">
        <v>2408</v>
      </c>
      <c r="E502">
        <v>5</v>
      </c>
      <c r="F502">
        <v>508.59</v>
      </c>
      <c r="G502" t="s">
        <v>2792</v>
      </c>
      <c r="H502" s="3" t="s">
        <v>3069</v>
      </c>
      <c r="I502" s="3" t="s">
        <v>3072</v>
      </c>
      <c r="J502" t="s">
        <v>3575</v>
      </c>
      <c r="K502">
        <v>8</v>
      </c>
      <c r="L502" t="s">
        <v>4277</v>
      </c>
      <c r="M502" s="3" t="s">
        <v>4281</v>
      </c>
      <c r="N502">
        <v>2542.9499999999998</v>
      </c>
    </row>
    <row r="503" spans="1:14" x14ac:dyDescent="0.35">
      <c r="A503" t="s">
        <v>515</v>
      </c>
      <c r="B503" t="s">
        <v>4673</v>
      </c>
      <c r="C503" t="s">
        <v>1715</v>
      </c>
      <c r="D503" s="3" t="s">
        <v>2409</v>
      </c>
      <c r="E503">
        <v>4</v>
      </c>
      <c r="F503">
        <v>203.46</v>
      </c>
      <c r="G503" t="s">
        <v>2559</v>
      </c>
      <c r="H503" s="3" t="s">
        <v>3067</v>
      </c>
      <c r="I503" s="3" t="s">
        <v>3074</v>
      </c>
      <c r="J503" t="s">
        <v>3576</v>
      </c>
      <c r="K503">
        <v>7</v>
      </c>
      <c r="L503" t="s">
        <v>4275</v>
      </c>
      <c r="M503" s="3" t="s">
        <v>4279</v>
      </c>
      <c r="N503">
        <v>813.84</v>
      </c>
    </row>
    <row r="504" spans="1:14" x14ac:dyDescent="0.35">
      <c r="A504" t="s">
        <v>516</v>
      </c>
      <c r="B504" t="s">
        <v>4674</v>
      </c>
      <c r="C504" t="s">
        <v>1716</v>
      </c>
      <c r="D504" s="3" t="s">
        <v>2403</v>
      </c>
      <c r="E504">
        <v>3</v>
      </c>
      <c r="F504">
        <v>565.25</v>
      </c>
      <c r="G504" t="s">
        <v>2793</v>
      </c>
      <c r="H504" s="3" t="s">
        <v>3065</v>
      </c>
      <c r="I504" s="3" t="s">
        <v>3072</v>
      </c>
      <c r="J504" t="s">
        <v>3577</v>
      </c>
      <c r="K504">
        <v>7</v>
      </c>
      <c r="L504" t="s">
        <v>4275</v>
      </c>
      <c r="M504" s="3" t="s">
        <v>4280</v>
      </c>
      <c r="N504">
        <v>1695.75</v>
      </c>
    </row>
    <row r="505" spans="1:14" x14ac:dyDescent="0.35">
      <c r="A505" t="s">
        <v>517</v>
      </c>
      <c r="B505" t="s">
        <v>4587</v>
      </c>
      <c r="C505" t="s">
        <v>1717</v>
      </c>
      <c r="D505" s="3" t="s">
        <v>2405</v>
      </c>
      <c r="E505">
        <v>3</v>
      </c>
      <c r="F505">
        <v>136.84</v>
      </c>
      <c r="G505" t="s">
        <v>2794</v>
      </c>
      <c r="H505" s="3" t="s">
        <v>3066</v>
      </c>
      <c r="I505" s="3" t="s">
        <v>3074</v>
      </c>
      <c r="J505" t="s">
        <v>3578</v>
      </c>
      <c r="K505">
        <v>4</v>
      </c>
      <c r="L505" t="s">
        <v>4276</v>
      </c>
      <c r="M505" s="3" t="s">
        <v>4281</v>
      </c>
      <c r="N505">
        <v>410.52</v>
      </c>
    </row>
    <row r="506" spans="1:14" x14ac:dyDescent="0.35">
      <c r="A506" t="s">
        <v>518</v>
      </c>
      <c r="B506" t="s">
        <v>4397</v>
      </c>
      <c r="C506" t="s">
        <v>1718</v>
      </c>
      <c r="D506" s="3" t="s">
        <v>2403</v>
      </c>
      <c r="E506">
        <v>2</v>
      </c>
      <c r="F506">
        <v>464.5</v>
      </c>
      <c r="G506" t="s">
        <v>2795</v>
      </c>
      <c r="H506" s="3" t="s">
        <v>3066</v>
      </c>
      <c r="I506" s="3" t="s">
        <v>3071</v>
      </c>
      <c r="J506" t="s">
        <v>3579</v>
      </c>
      <c r="K506">
        <v>2</v>
      </c>
      <c r="L506" t="s">
        <v>4277</v>
      </c>
      <c r="M506" s="3" t="s">
        <v>4278</v>
      </c>
      <c r="N506">
        <v>929</v>
      </c>
    </row>
    <row r="507" spans="1:14" x14ac:dyDescent="0.35">
      <c r="A507" t="s">
        <v>519</v>
      </c>
      <c r="B507" t="s">
        <v>4520</v>
      </c>
      <c r="C507" t="s">
        <v>1719</v>
      </c>
      <c r="D507" s="3" t="s">
        <v>2407</v>
      </c>
      <c r="E507">
        <v>2</v>
      </c>
      <c r="F507">
        <v>434.97</v>
      </c>
      <c r="G507" t="s">
        <v>2727</v>
      </c>
      <c r="H507" s="3" t="s">
        <v>3066</v>
      </c>
      <c r="I507" s="3" t="s">
        <v>3070</v>
      </c>
      <c r="J507" t="s">
        <v>3580</v>
      </c>
      <c r="K507">
        <v>7</v>
      </c>
      <c r="L507" t="s">
        <v>4292</v>
      </c>
      <c r="M507" s="3" t="s">
        <v>4280</v>
      </c>
      <c r="N507">
        <v>869.94</v>
      </c>
    </row>
    <row r="508" spans="1:14" x14ac:dyDescent="0.35">
      <c r="A508" t="s">
        <v>520</v>
      </c>
      <c r="B508" t="s">
        <v>4568</v>
      </c>
      <c r="C508" t="s">
        <v>1720</v>
      </c>
      <c r="D508" s="3" t="s">
        <v>2403</v>
      </c>
      <c r="E508">
        <v>2</v>
      </c>
      <c r="F508">
        <v>43.67</v>
      </c>
      <c r="G508" t="s">
        <v>2796</v>
      </c>
      <c r="H508" s="3" t="s">
        <v>3069</v>
      </c>
      <c r="I508" s="3" t="s">
        <v>3072</v>
      </c>
      <c r="J508" t="s">
        <v>3581</v>
      </c>
      <c r="K508">
        <v>4</v>
      </c>
      <c r="L508" t="s">
        <v>4277</v>
      </c>
      <c r="M508" s="3" t="s">
        <v>4278</v>
      </c>
      <c r="N508">
        <v>87.34</v>
      </c>
    </row>
    <row r="509" spans="1:14" x14ac:dyDescent="0.35">
      <c r="A509" t="s">
        <v>521</v>
      </c>
      <c r="B509" t="s">
        <v>4460</v>
      </c>
      <c r="C509" t="s">
        <v>1721</v>
      </c>
      <c r="D509" s="3" t="s">
        <v>2404</v>
      </c>
      <c r="E509">
        <v>1</v>
      </c>
      <c r="F509">
        <v>171.59</v>
      </c>
      <c r="G509" t="s">
        <v>2684</v>
      </c>
      <c r="H509" s="3" t="s">
        <v>3067</v>
      </c>
      <c r="I509" s="3" t="s">
        <v>3074</v>
      </c>
      <c r="J509" t="s">
        <v>3582</v>
      </c>
      <c r="K509">
        <v>5</v>
      </c>
      <c r="L509" t="s">
        <v>4277</v>
      </c>
      <c r="M509" s="3" t="s">
        <v>4280</v>
      </c>
      <c r="N509">
        <v>171.59</v>
      </c>
    </row>
    <row r="510" spans="1:14" x14ac:dyDescent="0.35">
      <c r="A510" t="s">
        <v>522</v>
      </c>
      <c r="B510" t="s">
        <v>4675</v>
      </c>
      <c r="C510" t="s">
        <v>1722</v>
      </c>
      <c r="D510" s="3" t="s">
        <v>2404</v>
      </c>
      <c r="E510">
        <v>1</v>
      </c>
      <c r="F510">
        <v>558.27</v>
      </c>
      <c r="G510" t="s">
        <v>2797</v>
      </c>
      <c r="H510" s="3" t="s">
        <v>3066</v>
      </c>
      <c r="I510" s="3" t="s">
        <v>3073</v>
      </c>
      <c r="J510" t="s">
        <v>3583</v>
      </c>
      <c r="K510">
        <v>1</v>
      </c>
      <c r="L510" t="s">
        <v>4292</v>
      </c>
      <c r="M510" s="3" t="s">
        <v>4279</v>
      </c>
      <c r="N510">
        <v>558.27</v>
      </c>
    </row>
    <row r="511" spans="1:14" x14ac:dyDescent="0.35">
      <c r="A511" t="s">
        <v>523</v>
      </c>
      <c r="B511" t="s">
        <v>4676</v>
      </c>
      <c r="C511" t="s">
        <v>1723</v>
      </c>
      <c r="D511" s="3" t="s">
        <v>2408</v>
      </c>
      <c r="E511">
        <v>2</v>
      </c>
      <c r="F511">
        <v>425.03</v>
      </c>
      <c r="G511" t="s">
        <v>2798</v>
      </c>
      <c r="H511" s="3" t="s">
        <v>3069</v>
      </c>
      <c r="I511" s="3" t="s">
        <v>3072</v>
      </c>
      <c r="J511" t="s">
        <v>3584</v>
      </c>
      <c r="K511">
        <v>2</v>
      </c>
      <c r="L511" t="s">
        <v>4277</v>
      </c>
      <c r="M511" s="3" t="s">
        <v>4282</v>
      </c>
      <c r="N511">
        <v>850.06</v>
      </c>
    </row>
    <row r="512" spans="1:14" x14ac:dyDescent="0.35">
      <c r="A512" t="s">
        <v>524</v>
      </c>
      <c r="B512" t="s">
        <v>4677</v>
      </c>
      <c r="C512" t="s">
        <v>1724</v>
      </c>
      <c r="D512" s="3" t="s">
        <v>2407</v>
      </c>
      <c r="E512">
        <v>1</v>
      </c>
      <c r="F512">
        <v>376.76</v>
      </c>
      <c r="G512" t="s">
        <v>2799</v>
      </c>
      <c r="H512" s="3" t="s">
        <v>3065</v>
      </c>
      <c r="I512" s="3" t="s">
        <v>3073</v>
      </c>
      <c r="J512" t="s">
        <v>3585</v>
      </c>
      <c r="K512">
        <v>5</v>
      </c>
      <c r="L512" t="s">
        <v>4275</v>
      </c>
      <c r="M512" s="3" t="s">
        <v>4280</v>
      </c>
      <c r="N512">
        <v>376.76</v>
      </c>
    </row>
    <row r="513" spans="1:14" x14ac:dyDescent="0.35">
      <c r="A513" t="s">
        <v>525</v>
      </c>
      <c r="B513" t="s">
        <v>4678</v>
      </c>
      <c r="C513" t="s">
        <v>1725</v>
      </c>
      <c r="D513" s="3" t="s">
        <v>2403</v>
      </c>
      <c r="E513">
        <v>5</v>
      </c>
      <c r="F513">
        <v>575.24</v>
      </c>
      <c r="G513" t="s">
        <v>2450</v>
      </c>
      <c r="H513" s="3" t="s">
        <v>3069</v>
      </c>
      <c r="I513" s="3" t="s">
        <v>3073</v>
      </c>
      <c r="J513" t="s">
        <v>3586</v>
      </c>
      <c r="K513">
        <v>7</v>
      </c>
      <c r="L513" t="s">
        <v>4277</v>
      </c>
      <c r="M513" s="3" t="s">
        <v>4280</v>
      </c>
      <c r="N513">
        <v>2876.2</v>
      </c>
    </row>
    <row r="514" spans="1:14" x14ac:dyDescent="0.35">
      <c r="A514" t="s">
        <v>526</v>
      </c>
      <c r="B514" t="s">
        <v>4679</v>
      </c>
      <c r="C514" t="s">
        <v>1726</v>
      </c>
      <c r="D514" s="3" t="s">
        <v>2409</v>
      </c>
      <c r="E514">
        <v>3</v>
      </c>
      <c r="F514">
        <v>568.02</v>
      </c>
      <c r="G514" t="s">
        <v>2662</v>
      </c>
      <c r="H514" s="3" t="s">
        <v>3066</v>
      </c>
      <c r="I514" s="3" t="s">
        <v>3074</v>
      </c>
      <c r="J514" t="s">
        <v>3587</v>
      </c>
      <c r="K514">
        <v>3</v>
      </c>
      <c r="L514" t="s">
        <v>4276</v>
      </c>
      <c r="M514" s="3" t="s">
        <v>4278</v>
      </c>
      <c r="N514">
        <v>1704.06</v>
      </c>
    </row>
    <row r="515" spans="1:14" x14ac:dyDescent="0.35">
      <c r="A515" t="s">
        <v>527</v>
      </c>
      <c r="B515" t="s">
        <v>4680</v>
      </c>
      <c r="C515" t="s">
        <v>1727</v>
      </c>
      <c r="D515" s="3" t="s">
        <v>2405</v>
      </c>
      <c r="E515">
        <v>3</v>
      </c>
      <c r="F515">
        <v>94.88</v>
      </c>
      <c r="G515" t="s">
        <v>2501</v>
      </c>
      <c r="H515" s="3" t="s">
        <v>3068</v>
      </c>
      <c r="I515" s="3" t="s">
        <v>3070</v>
      </c>
      <c r="J515" t="s">
        <v>3588</v>
      </c>
      <c r="K515">
        <v>8</v>
      </c>
      <c r="L515" t="s">
        <v>4292</v>
      </c>
      <c r="M515" s="3" t="s">
        <v>4279</v>
      </c>
      <c r="N515">
        <v>284.64</v>
      </c>
    </row>
    <row r="516" spans="1:14" x14ac:dyDescent="0.35">
      <c r="A516" t="s">
        <v>528</v>
      </c>
      <c r="B516" t="s">
        <v>4681</v>
      </c>
      <c r="C516" t="s">
        <v>1728</v>
      </c>
      <c r="D516" s="3" t="s">
        <v>2407</v>
      </c>
      <c r="E516">
        <v>3</v>
      </c>
      <c r="F516">
        <v>304.14999999999998</v>
      </c>
      <c r="G516" t="s">
        <v>2764</v>
      </c>
      <c r="H516" s="3" t="s">
        <v>3068</v>
      </c>
      <c r="I516" s="3" t="s">
        <v>3070</v>
      </c>
      <c r="J516" t="s">
        <v>3589</v>
      </c>
      <c r="K516">
        <v>3</v>
      </c>
      <c r="L516" t="s">
        <v>4277</v>
      </c>
      <c r="M516" s="3" t="s">
        <v>4278</v>
      </c>
      <c r="N516">
        <v>912.45</v>
      </c>
    </row>
    <row r="517" spans="1:14" x14ac:dyDescent="0.35">
      <c r="A517" t="s">
        <v>529</v>
      </c>
      <c r="B517" t="s">
        <v>4653</v>
      </c>
      <c r="C517" t="s">
        <v>1729</v>
      </c>
      <c r="D517" s="3" t="s">
        <v>2404</v>
      </c>
      <c r="E517">
        <v>3</v>
      </c>
      <c r="F517">
        <v>553.52</v>
      </c>
      <c r="G517" t="s">
        <v>2762</v>
      </c>
      <c r="H517" s="3" t="s">
        <v>3068</v>
      </c>
      <c r="I517" s="3" t="s">
        <v>3070</v>
      </c>
      <c r="J517" t="s">
        <v>3590</v>
      </c>
      <c r="K517">
        <v>4</v>
      </c>
      <c r="L517" t="s">
        <v>4276</v>
      </c>
      <c r="M517" s="3" t="s">
        <v>4281</v>
      </c>
      <c r="N517">
        <v>1660.56</v>
      </c>
    </row>
    <row r="518" spans="1:14" x14ac:dyDescent="0.35">
      <c r="A518" t="s">
        <v>530</v>
      </c>
      <c r="B518" t="s">
        <v>4442</v>
      </c>
      <c r="C518" t="s">
        <v>1730</v>
      </c>
      <c r="D518" s="3" t="s">
        <v>2403</v>
      </c>
      <c r="E518">
        <v>3</v>
      </c>
      <c r="F518">
        <v>166.99</v>
      </c>
      <c r="G518" t="s">
        <v>2659</v>
      </c>
      <c r="H518" s="3" t="s">
        <v>3069</v>
      </c>
      <c r="I518" s="3" t="s">
        <v>3072</v>
      </c>
      <c r="J518" t="s">
        <v>3591</v>
      </c>
      <c r="K518">
        <v>8</v>
      </c>
      <c r="L518" t="s">
        <v>4292</v>
      </c>
      <c r="M518" s="3" t="s">
        <v>4281</v>
      </c>
      <c r="N518">
        <v>500.97</v>
      </c>
    </row>
    <row r="519" spans="1:14" x14ac:dyDescent="0.35">
      <c r="A519" t="s">
        <v>531</v>
      </c>
      <c r="B519" t="s">
        <v>4682</v>
      </c>
      <c r="C519" t="s">
        <v>1731</v>
      </c>
      <c r="D519" s="3" t="s">
        <v>2405</v>
      </c>
      <c r="E519">
        <v>4</v>
      </c>
      <c r="F519">
        <v>198.35</v>
      </c>
      <c r="G519" t="s">
        <v>2781</v>
      </c>
      <c r="H519" s="3" t="s">
        <v>3069</v>
      </c>
      <c r="I519" s="3" t="s">
        <v>3071</v>
      </c>
      <c r="J519" t="s">
        <v>3592</v>
      </c>
      <c r="K519">
        <v>7</v>
      </c>
      <c r="L519" t="s">
        <v>4276</v>
      </c>
      <c r="M519" s="3" t="s">
        <v>4282</v>
      </c>
      <c r="N519">
        <v>793.4</v>
      </c>
    </row>
    <row r="520" spans="1:14" x14ac:dyDescent="0.35">
      <c r="A520" t="s">
        <v>532</v>
      </c>
      <c r="B520" t="s">
        <v>4683</v>
      </c>
      <c r="C520" t="s">
        <v>1732</v>
      </c>
      <c r="D520" s="3" t="s">
        <v>2407</v>
      </c>
      <c r="E520">
        <v>4</v>
      </c>
      <c r="F520">
        <v>403.58</v>
      </c>
      <c r="G520" t="s">
        <v>2732</v>
      </c>
      <c r="H520" s="3" t="s">
        <v>3066</v>
      </c>
      <c r="I520" s="3" t="s">
        <v>3074</v>
      </c>
      <c r="J520" t="s">
        <v>3593</v>
      </c>
      <c r="K520">
        <v>9</v>
      </c>
      <c r="L520" t="s">
        <v>4275</v>
      </c>
      <c r="M520" s="3" t="s">
        <v>4279</v>
      </c>
      <c r="N520">
        <v>1614.32</v>
      </c>
    </row>
    <row r="521" spans="1:14" x14ac:dyDescent="0.35">
      <c r="A521" t="s">
        <v>533</v>
      </c>
      <c r="B521" t="s">
        <v>4684</v>
      </c>
      <c r="C521" t="s">
        <v>1733</v>
      </c>
      <c r="D521" s="3" t="s">
        <v>2408</v>
      </c>
      <c r="E521">
        <v>4</v>
      </c>
      <c r="F521">
        <v>464.29</v>
      </c>
      <c r="G521" t="s">
        <v>2800</v>
      </c>
      <c r="H521" s="3" t="s">
        <v>3065</v>
      </c>
      <c r="I521" s="3" t="s">
        <v>3072</v>
      </c>
      <c r="J521" t="s">
        <v>3594</v>
      </c>
      <c r="K521">
        <v>5</v>
      </c>
      <c r="L521" t="s">
        <v>4275</v>
      </c>
      <c r="M521" s="3" t="s">
        <v>4280</v>
      </c>
      <c r="N521">
        <v>1857.16</v>
      </c>
    </row>
    <row r="522" spans="1:14" x14ac:dyDescent="0.35">
      <c r="A522" t="s">
        <v>534</v>
      </c>
      <c r="B522" t="s">
        <v>4685</v>
      </c>
      <c r="C522" t="s">
        <v>1734</v>
      </c>
      <c r="D522" s="3" t="s">
        <v>2403</v>
      </c>
      <c r="E522">
        <v>3</v>
      </c>
      <c r="F522">
        <v>635.98</v>
      </c>
      <c r="G522" t="s">
        <v>2801</v>
      </c>
      <c r="H522" s="3" t="s">
        <v>3069</v>
      </c>
      <c r="I522" s="3" t="s">
        <v>3072</v>
      </c>
      <c r="J522" t="s">
        <v>3595</v>
      </c>
      <c r="K522">
        <v>5</v>
      </c>
      <c r="L522" t="s">
        <v>4292</v>
      </c>
      <c r="M522" s="3" t="s">
        <v>4279</v>
      </c>
      <c r="N522">
        <v>1907.94</v>
      </c>
    </row>
    <row r="523" spans="1:14" x14ac:dyDescent="0.35">
      <c r="A523" t="s">
        <v>535</v>
      </c>
      <c r="B523" t="s">
        <v>4686</v>
      </c>
      <c r="C523" t="s">
        <v>1735</v>
      </c>
      <c r="D523" s="3" t="s">
        <v>2404</v>
      </c>
      <c r="E523">
        <v>1</v>
      </c>
      <c r="F523">
        <v>528.05999999999995</v>
      </c>
      <c r="G523" t="s">
        <v>2802</v>
      </c>
      <c r="H523" s="3" t="s">
        <v>3067</v>
      </c>
      <c r="I523" s="3" t="s">
        <v>3070</v>
      </c>
      <c r="J523" t="s">
        <v>3596</v>
      </c>
      <c r="K523">
        <v>2</v>
      </c>
      <c r="L523" t="s">
        <v>4292</v>
      </c>
      <c r="M523" s="3" t="s">
        <v>4281</v>
      </c>
      <c r="N523">
        <v>528.05999999999995</v>
      </c>
    </row>
    <row r="524" spans="1:14" x14ac:dyDescent="0.35">
      <c r="A524" t="s">
        <v>536</v>
      </c>
      <c r="B524" t="s">
        <v>4606</v>
      </c>
      <c r="C524" t="s">
        <v>1736</v>
      </c>
      <c r="D524" s="3" t="s">
        <v>2406</v>
      </c>
      <c r="E524">
        <v>1</v>
      </c>
      <c r="F524">
        <v>515.32000000000005</v>
      </c>
      <c r="G524" t="s">
        <v>2650</v>
      </c>
      <c r="H524" s="3" t="s">
        <v>3068</v>
      </c>
      <c r="I524" s="3" t="s">
        <v>3071</v>
      </c>
      <c r="J524" t="s">
        <v>3597</v>
      </c>
      <c r="K524">
        <v>1</v>
      </c>
      <c r="L524" t="s">
        <v>4276</v>
      </c>
      <c r="M524" s="3" t="s">
        <v>4280</v>
      </c>
      <c r="N524">
        <v>515.32000000000005</v>
      </c>
    </row>
    <row r="525" spans="1:14" x14ac:dyDescent="0.35">
      <c r="A525" t="s">
        <v>537</v>
      </c>
      <c r="B525" t="s">
        <v>4687</v>
      </c>
      <c r="C525" t="s">
        <v>1737</v>
      </c>
      <c r="D525" s="3" t="s">
        <v>2409</v>
      </c>
      <c r="E525">
        <v>4</v>
      </c>
      <c r="F525">
        <v>657.79</v>
      </c>
      <c r="G525" t="s">
        <v>2741</v>
      </c>
      <c r="H525" s="3" t="s">
        <v>3067</v>
      </c>
      <c r="I525" s="3" t="s">
        <v>3072</v>
      </c>
      <c r="J525" t="s">
        <v>3598</v>
      </c>
      <c r="K525">
        <v>6</v>
      </c>
      <c r="L525" t="s">
        <v>4277</v>
      </c>
      <c r="M525" s="3" t="s">
        <v>4282</v>
      </c>
      <c r="N525">
        <v>2631.16</v>
      </c>
    </row>
    <row r="526" spans="1:14" x14ac:dyDescent="0.35">
      <c r="A526" t="s">
        <v>538</v>
      </c>
      <c r="B526" t="s">
        <v>4669</v>
      </c>
      <c r="C526" t="s">
        <v>1738</v>
      </c>
      <c r="D526" s="3" t="s">
        <v>2404</v>
      </c>
      <c r="E526">
        <v>1</v>
      </c>
      <c r="F526">
        <v>153</v>
      </c>
      <c r="G526" t="s">
        <v>2483</v>
      </c>
      <c r="H526" s="3" t="s">
        <v>3067</v>
      </c>
      <c r="I526" s="3" t="s">
        <v>3072</v>
      </c>
      <c r="J526" t="s">
        <v>3599</v>
      </c>
      <c r="K526">
        <v>4</v>
      </c>
      <c r="L526" t="s">
        <v>4292</v>
      </c>
      <c r="M526" s="3" t="s">
        <v>4279</v>
      </c>
      <c r="N526">
        <v>153</v>
      </c>
    </row>
    <row r="527" spans="1:14" x14ac:dyDescent="0.35">
      <c r="A527" t="s">
        <v>539</v>
      </c>
      <c r="B527" t="s">
        <v>4688</v>
      </c>
      <c r="C527" t="s">
        <v>1739</v>
      </c>
      <c r="D527" s="3" t="s">
        <v>2403</v>
      </c>
      <c r="E527">
        <v>1</v>
      </c>
      <c r="F527">
        <v>668.48</v>
      </c>
      <c r="G527" t="s">
        <v>2762</v>
      </c>
      <c r="H527" s="3" t="s">
        <v>3065</v>
      </c>
      <c r="I527" s="3" t="s">
        <v>3070</v>
      </c>
      <c r="J527" t="s">
        <v>3600</v>
      </c>
      <c r="K527">
        <v>1</v>
      </c>
      <c r="L527" t="s">
        <v>4275</v>
      </c>
      <c r="M527" s="3" t="s">
        <v>4280</v>
      </c>
      <c r="N527">
        <v>668.48</v>
      </c>
    </row>
    <row r="528" spans="1:14" x14ac:dyDescent="0.35">
      <c r="A528" t="s">
        <v>540</v>
      </c>
      <c r="B528" t="s">
        <v>4689</v>
      </c>
      <c r="C528" t="s">
        <v>1740</v>
      </c>
      <c r="D528" s="3" t="s">
        <v>2409</v>
      </c>
      <c r="E528">
        <v>2</v>
      </c>
      <c r="F528">
        <v>46.5</v>
      </c>
      <c r="G528" t="s">
        <v>2497</v>
      </c>
      <c r="H528" s="3" t="s">
        <v>3069</v>
      </c>
      <c r="I528" s="3" t="s">
        <v>3072</v>
      </c>
      <c r="J528" t="s">
        <v>3601</v>
      </c>
      <c r="K528">
        <v>7</v>
      </c>
      <c r="L528" t="s">
        <v>4277</v>
      </c>
      <c r="M528" s="3" t="s">
        <v>4282</v>
      </c>
      <c r="N528">
        <v>93</v>
      </c>
    </row>
    <row r="529" spans="1:14" x14ac:dyDescent="0.35">
      <c r="A529" t="s">
        <v>541</v>
      </c>
      <c r="B529" t="s">
        <v>4690</v>
      </c>
      <c r="C529" t="s">
        <v>1741</v>
      </c>
      <c r="D529" s="3" t="s">
        <v>2406</v>
      </c>
      <c r="E529">
        <v>5</v>
      </c>
      <c r="F529">
        <v>653.47</v>
      </c>
      <c r="G529" t="s">
        <v>2488</v>
      </c>
      <c r="H529" s="3" t="s">
        <v>3067</v>
      </c>
      <c r="I529" s="3" t="s">
        <v>3071</v>
      </c>
      <c r="J529" t="s">
        <v>3602</v>
      </c>
      <c r="K529">
        <v>10</v>
      </c>
      <c r="L529" t="s">
        <v>4275</v>
      </c>
      <c r="M529" s="3" t="s">
        <v>4279</v>
      </c>
      <c r="N529">
        <v>3267.35</v>
      </c>
    </row>
    <row r="530" spans="1:14" x14ac:dyDescent="0.35">
      <c r="A530" t="s">
        <v>542</v>
      </c>
      <c r="B530" t="s">
        <v>4691</v>
      </c>
      <c r="C530" t="s">
        <v>1742</v>
      </c>
      <c r="D530" s="3" t="s">
        <v>2406</v>
      </c>
      <c r="E530">
        <v>1</v>
      </c>
      <c r="F530">
        <v>628.89</v>
      </c>
      <c r="G530" t="s">
        <v>2765</v>
      </c>
      <c r="H530" s="3" t="s">
        <v>3067</v>
      </c>
      <c r="I530" s="3" t="s">
        <v>3072</v>
      </c>
      <c r="J530" t="s">
        <v>3603</v>
      </c>
      <c r="K530">
        <v>2</v>
      </c>
      <c r="L530" t="s">
        <v>4275</v>
      </c>
      <c r="M530" s="3" t="s">
        <v>4279</v>
      </c>
      <c r="N530">
        <v>628.89</v>
      </c>
    </row>
    <row r="531" spans="1:14" x14ac:dyDescent="0.35">
      <c r="A531" t="s">
        <v>543</v>
      </c>
      <c r="B531" t="s">
        <v>4442</v>
      </c>
      <c r="C531" t="s">
        <v>1743</v>
      </c>
      <c r="D531" s="3" t="s">
        <v>2405</v>
      </c>
      <c r="E531">
        <v>2</v>
      </c>
      <c r="F531">
        <v>675.1</v>
      </c>
      <c r="G531" t="s">
        <v>2803</v>
      </c>
      <c r="H531" s="3" t="s">
        <v>3069</v>
      </c>
      <c r="I531" s="3" t="s">
        <v>3074</v>
      </c>
      <c r="J531" t="s">
        <v>3604</v>
      </c>
      <c r="K531">
        <v>4</v>
      </c>
      <c r="L531" t="s">
        <v>4276</v>
      </c>
      <c r="M531" s="3" t="s">
        <v>4282</v>
      </c>
      <c r="N531">
        <v>1350.2</v>
      </c>
    </row>
    <row r="532" spans="1:14" x14ac:dyDescent="0.35">
      <c r="A532" t="s">
        <v>544</v>
      </c>
      <c r="B532" t="s">
        <v>4692</v>
      </c>
      <c r="C532" t="s">
        <v>1744</v>
      </c>
      <c r="D532" s="3" t="s">
        <v>2406</v>
      </c>
      <c r="E532">
        <v>4</v>
      </c>
      <c r="F532">
        <v>89.41</v>
      </c>
      <c r="G532" t="s">
        <v>2804</v>
      </c>
      <c r="H532" s="3" t="s">
        <v>3066</v>
      </c>
      <c r="I532" s="3" t="s">
        <v>3074</v>
      </c>
      <c r="J532" t="s">
        <v>3605</v>
      </c>
      <c r="K532">
        <v>9</v>
      </c>
      <c r="L532" t="s">
        <v>4292</v>
      </c>
      <c r="M532" s="3" t="s">
        <v>4282</v>
      </c>
      <c r="N532">
        <v>357.64</v>
      </c>
    </row>
    <row r="533" spans="1:14" x14ac:dyDescent="0.35">
      <c r="A533" t="s">
        <v>545</v>
      </c>
      <c r="B533" t="s">
        <v>4651</v>
      </c>
      <c r="C533" t="s">
        <v>1745</v>
      </c>
      <c r="D533" s="3" t="s">
        <v>2409</v>
      </c>
      <c r="E533">
        <v>5</v>
      </c>
      <c r="F533">
        <v>320.01</v>
      </c>
      <c r="G533" t="s">
        <v>2805</v>
      </c>
      <c r="H533" s="3" t="s">
        <v>3068</v>
      </c>
      <c r="I533" s="3" t="s">
        <v>3073</v>
      </c>
      <c r="J533" t="s">
        <v>3606</v>
      </c>
      <c r="K533">
        <v>6</v>
      </c>
      <c r="L533" t="s">
        <v>4292</v>
      </c>
      <c r="M533" s="3" t="s">
        <v>4279</v>
      </c>
      <c r="N533">
        <v>1600.05</v>
      </c>
    </row>
    <row r="534" spans="1:14" x14ac:dyDescent="0.35">
      <c r="A534" t="s">
        <v>546</v>
      </c>
      <c r="B534" t="s">
        <v>4404</v>
      </c>
      <c r="C534" t="s">
        <v>1746</v>
      </c>
      <c r="D534" s="3" t="s">
        <v>2408</v>
      </c>
      <c r="E534">
        <v>2</v>
      </c>
      <c r="F534">
        <v>41</v>
      </c>
      <c r="G534" t="s">
        <v>2806</v>
      </c>
      <c r="H534" s="3" t="s">
        <v>3066</v>
      </c>
      <c r="I534" s="3" t="s">
        <v>3073</v>
      </c>
      <c r="J534" t="s">
        <v>3607</v>
      </c>
      <c r="K534">
        <v>7</v>
      </c>
      <c r="L534" t="s">
        <v>4292</v>
      </c>
      <c r="M534" s="3" t="s">
        <v>4280</v>
      </c>
      <c r="N534">
        <v>82</v>
      </c>
    </row>
    <row r="535" spans="1:14" x14ac:dyDescent="0.35">
      <c r="A535" t="s">
        <v>547</v>
      </c>
      <c r="B535" t="s">
        <v>4693</v>
      </c>
      <c r="C535" t="s">
        <v>1747</v>
      </c>
      <c r="D535" s="3" t="s">
        <v>2409</v>
      </c>
      <c r="E535">
        <v>1</v>
      </c>
      <c r="F535">
        <v>565.85</v>
      </c>
      <c r="G535" t="s">
        <v>2472</v>
      </c>
      <c r="H535" s="3" t="s">
        <v>3068</v>
      </c>
      <c r="I535" s="3" t="s">
        <v>3072</v>
      </c>
      <c r="J535" t="s">
        <v>3608</v>
      </c>
      <c r="K535">
        <v>1</v>
      </c>
      <c r="L535" t="s">
        <v>4276</v>
      </c>
      <c r="M535" s="3" t="s">
        <v>4281</v>
      </c>
      <c r="N535">
        <v>565.85</v>
      </c>
    </row>
    <row r="536" spans="1:14" x14ac:dyDescent="0.35">
      <c r="A536" t="s">
        <v>548</v>
      </c>
      <c r="B536" t="s">
        <v>4593</v>
      </c>
      <c r="C536" t="s">
        <v>1748</v>
      </c>
      <c r="D536" s="3" t="s">
        <v>2406</v>
      </c>
      <c r="E536">
        <v>3</v>
      </c>
      <c r="F536">
        <v>648.59</v>
      </c>
      <c r="G536" t="s">
        <v>2807</v>
      </c>
      <c r="H536" s="3" t="s">
        <v>3065</v>
      </c>
      <c r="I536" s="3" t="s">
        <v>3071</v>
      </c>
      <c r="J536" t="s">
        <v>3609</v>
      </c>
      <c r="K536">
        <v>4</v>
      </c>
      <c r="L536" t="s">
        <v>4275</v>
      </c>
      <c r="M536" s="3" t="s">
        <v>4280</v>
      </c>
      <c r="N536">
        <v>1945.77</v>
      </c>
    </row>
    <row r="537" spans="1:14" x14ac:dyDescent="0.35">
      <c r="A537" t="s">
        <v>549</v>
      </c>
      <c r="B537" t="s">
        <v>4309</v>
      </c>
      <c r="C537" t="s">
        <v>1749</v>
      </c>
      <c r="D537" s="3" t="s">
        <v>2403</v>
      </c>
      <c r="E537">
        <v>3</v>
      </c>
      <c r="F537">
        <v>68.12</v>
      </c>
      <c r="G537" t="s">
        <v>2567</v>
      </c>
      <c r="H537" s="3" t="s">
        <v>3066</v>
      </c>
      <c r="I537" s="3" t="s">
        <v>3071</v>
      </c>
      <c r="J537" t="s">
        <v>3610</v>
      </c>
      <c r="K537">
        <v>3</v>
      </c>
      <c r="L537" t="s">
        <v>4276</v>
      </c>
      <c r="M537" s="3" t="s">
        <v>4280</v>
      </c>
      <c r="N537">
        <v>204.36</v>
      </c>
    </row>
    <row r="538" spans="1:14" x14ac:dyDescent="0.35">
      <c r="A538" t="s">
        <v>550</v>
      </c>
      <c r="B538" t="s">
        <v>4694</v>
      </c>
      <c r="C538" t="s">
        <v>1750</v>
      </c>
      <c r="D538" s="3" t="s">
        <v>2406</v>
      </c>
      <c r="E538">
        <v>1</v>
      </c>
      <c r="F538">
        <v>616.1</v>
      </c>
      <c r="G538" t="s">
        <v>2808</v>
      </c>
      <c r="H538" s="3" t="s">
        <v>3069</v>
      </c>
      <c r="I538" s="3" t="s">
        <v>3072</v>
      </c>
      <c r="J538" t="s">
        <v>3611</v>
      </c>
      <c r="K538">
        <v>6</v>
      </c>
      <c r="L538" t="s">
        <v>4292</v>
      </c>
      <c r="M538" s="3" t="s">
        <v>4280</v>
      </c>
      <c r="N538">
        <v>616.1</v>
      </c>
    </row>
    <row r="539" spans="1:14" x14ac:dyDescent="0.35">
      <c r="A539" t="s">
        <v>551</v>
      </c>
      <c r="B539" t="s">
        <v>4695</v>
      </c>
      <c r="C539" t="s">
        <v>1751</v>
      </c>
      <c r="D539" s="3" t="s">
        <v>2405</v>
      </c>
      <c r="E539">
        <v>3</v>
      </c>
      <c r="F539">
        <v>247.47</v>
      </c>
      <c r="G539" t="s">
        <v>2471</v>
      </c>
      <c r="H539" s="3" t="s">
        <v>3066</v>
      </c>
      <c r="I539" s="3" t="s">
        <v>3073</v>
      </c>
      <c r="J539" t="s">
        <v>3612</v>
      </c>
      <c r="K539">
        <v>4</v>
      </c>
      <c r="L539" t="s">
        <v>4275</v>
      </c>
      <c r="M539" s="3" t="s">
        <v>4281</v>
      </c>
      <c r="N539">
        <v>742.41</v>
      </c>
    </row>
    <row r="540" spans="1:14" x14ac:dyDescent="0.35">
      <c r="A540" t="s">
        <v>552</v>
      </c>
      <c r="B540" t="s">
        <v>4359</v>
      </c>
      <c r="C540" t="s">
        <v>1752</v>
      </c>
      <c r="D540" s="3" t="s">
        <v>2404</v>
      </c>
      <c r="E540">
        <v>3</v>
      </c>
      <c r="F540">
        <v>490.74</v>
      </c>
      <c r="G540" t="s">
        <v>2809</v>
      </c>
      <c r="H540" s="3" t="s">
        <v>3069</v>
      </c>
      <c r="I540" s="3" t="s">
        <v>3070</v>
      </c>
      <c r="J540" t="s">
        <v>3613</v>
      </c>
      <c r="K540">
        <v>3</v>
      </c>
      <c r="L540" t="s">
        <v>4277</v>
      </c>
      <c r="M540" s="3" t="s">
        <v>4280</v>
      </c>
      <c r="N540">
        <v>1472.22</v>
      </c>
    </row>
    <row r="541" spans="1:14" x14ac:dyDescent="0.35">
      <c r="A541" t="s">
        <v>553</v>
      </c>
      <c r="B541" t="s">
        <v>4687</v>
      </c>
      <c r="C541" t="s">
        <v>1753</v>
      </c>
      <c r="D541" s="3" t="s">
        <v>2409</v>
      </c>
      <c r="E541">
        <v>3</v>
      </c>
      <c r="F541">
        <v>531.72</v>
      </c>
      <c r="G541" t="s">
        <v>2810</v>
      </c>
      <c r="H541" s="3" t="s">
        <v>3068</v>
      </c>
      <c r="I541" s="3" t="s">
        <v>3073</v>
      </c>
      <c r="J541" t="s">
        <v>3614</v>
      </c>
      <c r="K541">
        <v>7</v>
      </c>
      <c r="L541" t="s">
        <v>4275</v>
      </c>
      <c r="M541" s="3" t="s">
        <v>4282</v>
      </c>
      <c r="N541">
        <v>1595.16</v>
      </c>
    </row>
    <row r="542" spans="1:14" x14ac:dyDescent="0.35">
      <c r="A542" t="s">
        <v>554</v>
      </c>
      <c r="B542" t="s">
        <v>4696</v>
      </c>
      <c r="C542" t="s">
        <v>1754</v>
      </c>
      <c r="D542" s="3" t="s">
        <v>2408</v>
      </c>
      <c r="E542">
        <v>5</v>
      </c>
      <c r="F542">
        <v>648.65</v>
      </c>
      <c r="G542" t="s">
        <v>2811</v>
      </c>
      <c r="H542" s="3" t="s">
        <v>3066</v>
      </c>
      <c r="I542" s="3" t="s">
        <v>3074</v>
      </c>
      <c r="J542" t="s">
        <v>3615</v>
      </c>
      <c r="K542">
        <v>7</v>
      </c>
      <c r="L542" t="s">
        <v>4292</v>
      </c>
      <c r="M542" s="3" t="s">
        <v>4279</v>
      </c>
      <c r="N542">
        <v>3243.25</v>
      </c>
    </row>
    <row r="543" spans="1:14" x14ac:dyDescent="0.35">
      <c r="A543" t="s">
        <v>555</v>
      </c>
      <c r="B543" t="s">
        <v>4697</v>
      </c>
      <c r="C543" t="s">
        <v>1755</v>
      </c>
      <c r="D543" s="3" t="s">
        <v>2407</v>
      </c>
      <c r="E543">
        <v>5</v>
      </c>
      <c r="F543">
        <v>456.06</v>
      </c>
      <c r="G543" t="s">
        <v>2812</v>
      </c>
      <c r="H543" s="3" t="s">
        <v>3069</v>
      </c>
      <c r="I543" s="3" t="s">
        <v>3074</v>
      </c>
      <c r="J543" t="s">
        <v>3616</v>
      </c>
      <c r="K543">
        <v>10</v>
      </c>
      <c r="L543" t="s">
        <v>4292</v>
      </c>
      <c r="M543" s="3" t="s">
        <v>4278</v>
      </c>
      <c r="N543">
        <v>2280.3000000000002</v>
      </c>
    </row>
    <row r="544" spans="1:14" x14ac:dyDescent="0.35">
      <c r="A544" t="s">
        <v>556</v>
      </c>
      <c r="B544" t="s">
        <v>4698</v>
      </c>
      <c r="C544" t="s">
        <v>1756</v>
      </c>
      <c r="D544" s="3" t="s">
        <v>2405</v>
      </c>
      <c r="E544">
        <v>1</v>
      </c>
      <c r="F544">
        <v>17.98</v>
      </c>
      <c r="G544" t="s">
        <v>2415</v>
      </c>
      <c r="H544" s="3" t="s">
        <v>3069</v>
      </c>
      <c r="I544" s="3" t="s">
        <v>3071</v>
      </c>
      <c r="J544" t="s">
        <v>3617</v>
      </c>
      <c r="K544">
        <v>6</v>
      </c>
      <c r="L544" t="s">
        <v>4276</v>
      </c>
      <c r="M544" s="3" t="s">
        <v>4280</v>
      </c>
      <c r="N544">
        <v>17.98</v>
      </c>
    </row>
    <row r="545" spans="1:14" x14ac:dyDescent="0.35">
      <c r="A545" t="s">
        <v>557</v>
      </c>
      <c r="B545" t="s">
        <v>4699</v>
      </c>
      <c r="C545" t="s">
        <v>1757</v>
      </c>
      <c r="D545" s="3" t="s">
        <v>2409</v>
      </c>
      <c r="E545">
        <v>5</v>
      </c>
      <c r="F545">
        <v>269.86</v>
      </c>
      <c r="G545" t="s">
        <v>2569</v>
      </c>
      <c r="H545" s="3" t="s">
        <v>3069</v>
      </c>
      <c r="I545" s="3" t="s">
        <v>3070</v>
      </c>
      <c r="J545" t="s">
        <v>3618</v>
      </c>
      <c r="K545">
        <v>6</v>
      </c>
      <c r="L545" t="s">
        <v>4277</v>
      </c>
      <c r="M545" s="3" t="s">
        <v>4281</v>
      </c>
      <c r="N545">
        <v>1349.3</v>
      </c>
    </row>
    <row r="546" spans="1:14" x14ac:dyDescent="0.35">
      <c r="A546" t="s">
        <v>558</v>
      </c>
      <c r="B546" t="s">
        <v>4700</v>
      </c>
      <c r="C546" t="s">
        <v>1758</v>
      </c>
      <c r="D546" s="3" t="s">
        <v>2407</v>
      </c>
      <c r="E546">
        <v>5</v>
      </c>
      <c r="F546">
        <v>31.96</v>
      </c>
      <c r="G546" t="s">
        <v>2726</v>
      </c>
      <c r="H546" s="3" t="s">
        <v>3067</v>
      </c>
      <c r="I546" s="3" t="s">
        <v>3072</v>
      </c>
      <c r="J546" t="s">
        <v>3619</v>
      </c>
      <c r="K546">
        <v>5</v>
      </c>
      <c r="L546" t="s">
        <v>4276</v>
      </c>
      <c r="M546" s="3" t="s">
        <v>4279</v>
      </c>
      <c r="N546">
        <v>159.80000000000001</v>
      </c>
    </row>
    <row r="547" spans="1:14" x14ac:dyDescent="0.35">
      <c r="A547" t="s">
        <v>559</v>
      </c>
      <c r="B547" t="s">
        <v>4547</v>
      </c>
      <c r="C547" t="s">
        <v>1759</v>
      </c>
      <c r="D547" s="3" t="s">
        <v>2403</v>
      </c>
      <c r="E547">
        <v>2</v>
      </c>
      <c r="F547">
        <v>98.47</v>
      </c>
      <c r="G547" t="s">
        <v>2813</v>
      </c>
      <c r="H547" s="3" t="s">
        <v>3069</v>
      </c>
      <c r="I547" s="3" t="s">
        <v>3072</v>
      </c>
      <c r="J547" t="s">
        <v>3620</v>
      </c>
      <c r="K547">
        <v>3</v>
      </c>
      <c r="L547" t="s">
        <v>4292</v>
      </c>
      <c r="M547" s="3" t="s">
        <v>4278</v>
      </c>
      <c r="N547">
        <v>196.94</v>
      </c>
    </row>
    <row r="548" spans="1:14" x14ac:dyDescent="0.35">
      <c r="A548" t="s">
        <v>560</v>
      </c>
      <c r="B548" t="s">
        <v>4701</v>
      </c>
      <c r="C548" t="s">
        <v>1760</v>
      </c>
      <c r="D548" s="3" t="s">
        <v>2403</v>
      </c>
      <c r="E548">
        <v>1</v>
      </c>
      <c r="F548">
        <v>158.68</v>
      </c>
      <c r="G548" t="s">
        <v>2410</v>
      </c>
      <c r="H548" s="3" t="s">
        <v>3067</v>
      </c>
      <c r="I548" s="3" t="s">
        <v>3072</v>
      </c>
      <c r="J548" t="s">
        <v>3621</v>
      </c>
      <c r="K548">
        <v>6</v>
      </c>
      <c r="L548" t="s">
        <v>4277</v>
      </c>
      <c r="M548" s="3" t="s">
        <v>4278</v>
      </c>
      <c r="N548">
        <v>158.68</v>
      </c>
    </row>
    <row r="549" spans="1:14" x14ac:dyDescent="0.35">
      <c r="A549" t="s">
        <v>561</v>
      </c>
      <c r="B549" t="s">
        <v>4322</v>
      </c>
      <c r="C549" t="s">
        <v>1761</v>
      </c>
      <c r="D549" s="3" t="s">
        <v>2404</v>
      </c>
      <c r="E549">
        <v>1</v>
      </c>
      <c r="F549">
        <v>613.98</v>
      </c>
      <c r="G549" t="s">
        <v>2814</v>
      </c>
      <c r="H549" s="3" t="s">
        <v>3066</v>
      </c>
      <c r="I549" s="3" t="s">
        <v>3073</v>
      </c>
      <c r="J549" t="s">
        <v>3622</v>
      </c>
      <c r="K549">
        <v>4</v>
      </c>
      <c r="L549" t="s">
        <v>4276</v>
      </c>
      <c r="M549" s="3" t="s">
        <v>4281</v>
      </c>
      <c r="N549">
        <v>613.98</v>
      </c>
    </row>
    <row r="550" spans="1:14" x14ac:dyDescent="0.35">
      <c r="A550" t="s">
        <v>562</v>
      </c>
      <c r="B550" t="s">
        <v>4364</v>
      </c>
      <c r="C550" t="s">
        <v>1762</v>
      </c>
      <c r="D550" s="3" t="s">
        <v>2407</v>
      </c>
      <c r="E550">
        <v>3</v>
      </c>
      <c r="F550">
        <v>426.12</v>
      </c>
      <c r="G550" t="s">
        <v>2500</v>
      </c>
      <c r="H550" s="3" t="s">
        <v>3066</v>
      </c>
      <c r="I550" s="3" t="s">
        <v>3073</v>
      </c>
      <c r="J550" t="s">
        <v>3623</v>
      </c>
      <c r="K550">
        <v>5</v>
      </c>
      <c r="L550" t="s">
        <v>4277</v>
      </c>
      <c r="M550" s="3" t="s">
        <v>4278</v>
      </c>
      <c r="N550">
        <v>1278.3599999999999</v>
      </c>
    </row>
    <row r="551" spans="1:14" x14ac:dyDescent="0.35">
      <c r="A551" t="s">
        <v>563</v>
      </c>
      <c r="B551" t="s">
        <v>4370</v>
      </c>
      <c r="C551" t="s">
        <v>1763</v>
      </c>
      <c r="D551" s="3" t="s">
        <v>2403</v>
      </c>
      <c r="E551">
        <v>4</v>
      </c>
      <c r="F551">
        <v>629.88</v>
      </c>
      <c r="G551" t="s">
        <v>2815</v>
      </c>
      <c r="H551" s="3" t="s">
        <v>3065</v>
      </c>
      <c r="I551" s="3" t="s">
        <v>3071</v>
      </c>
      <c r="J551" t="s">
        <v>3624</v>
      </c>
      <c r="K551">
        <v>8</v>
      </c>
      <c r="L551" t="s">
        <v>4277</v>
      </c>
      <c r="M551" s="3" t="s">
        <v>4278</v>
      </c>
      <c r="N551">
        <v>2519.52</v>
      </c>
    </row>
    <row r="552" spans="1:14" x14ac:dyDescent="0.35">
      <c r="A552" t="s">
        <v>564</v>
      </c>
      <c r="B552" t="s">
        <v>4702</v>
      </c>
      <c r="C552" t="s">
        <v>1764</v>
      </c>
      <c r="D552" s="3" t="s">
        <v>2408</v>
      </c>
      <c r="E552">
        <v>4</v>
      </c>
      <c r="F552">
        <v>228.91</v>
      </c>
      <c r="G552" t="s">
        <v>2542</v>
      </c>
      <c r="H552" s="3" t="s">
        <v>3069</v>
      </c>
      <c r="I552" s="3" t="s">
        <v>3070</v>
      </c>
      <c r="J552" t="s">
        <v>3625</v>
      </c>
      <c r="K552">
        <v>4</v>
      </c>
      <c r="L552" t="s">
        <v>4276</v>
      </c>
      <c r="M552" s="3" t="s">
        <v>4282</v>
      </c>
      <c r="N552">
        <v>915.64</v>
      </c>
    </row>
    <row r="553" spans="1:14" x14ac:dyDescent="0.35">
      <c r="A553" t="s">
        <v>565</v>
      </c>
      <c r="B553" t="s">
        <v>4703</v>
      </c>
      <c r="C553" t="s">
        <v>1765</v>
      </c>
      <c r="D553" s="3" t="s">
        <v>2408</v>
      </c>
      <c r="E553">
        <v>1</v>
      </c>
      <c r="F553">
        <v>120.98</v>
      </c>
      <c r="G553" t="s">
        <v>2528</v>
      </c>
      <c r="H553" s="3" t="s">
        <v>3065</v>
      </c>
      <c r="I553" s="3" t="s">
        <v>3073</v>
      </c>
      <c r="J553" t="s">
        <v>3626</v>
      </c>
      <c r="K553">
        <v>6</v>
      </c>
      <c r="L553" t="s">
        <v>4277</v>
      </c>
      <c r="M553" s="3" t="s">
        <v>4280</v>
      </c>
      <c r="N553">
        <v>120.98</v>
      </c>
    </row>
    <row r="554" spans="1:14" x14ac:dyDescent="0.35">
      <c r="A554" t="s">
        <v>566</v>
      </c>
      <c r="B554" t="s">
        <v>4704</v>
      </c>
      <c r="C554" t="s">
        <v>1766</v>
      </c>
      <c r="D554" s="3" t="s">
        <v>2406</v>
      </c>
      <c r="E554">
        <v>4</v>
      </c>
      <c r="F554">
        <v>425.18</v>
      </c>
      <c r="G554" t="s">
        <v>2798</v>
      </c>
      <c r="H554" s="3" t="s">
        <v>3066</v>
      </c>
      <c r="I554" s="3" t="s">
        <v>3072</v>
      </c>
      <c r="J554" t="s">
        <v>3627</v>
      </c>
      <c r="K554">
        <v>8</v>
      </c>
      <c r="L554" t="s">
        <v>4277</v>
      </c>
      <c r="M554" s="3" t="s">
        <v>4281</v>
      </c>
      <c r="N554">
        <v>1700.72</v>
      </c>
    </row>
    <row r="555" spans="1:14" x14ac:dyDescent="0.35">
      <c r="A555" t="s">
        <v>567</v>
      </c>
      <c r="B555" t="s">
        <v>4705</v>
      </c>
      <c r="C555" t="s">
        <v>1767</v>
      </c>
      <c r="D555" s="3" t="s">
        <v>2404</v>
      </c>
      <c r="E555">
        <v>2</v>
      </c>
      <c r="F555">
        <v>333.83</v>
      </c>
      <c r="G555" t="s">
        <v>2816</v>
      </c>
      <c r="H555" s="3" t="s">
        <v>3068</v>
      </c>
      <c r="I555" s="3" t="s">
        <v>3071</v>
      </c>
      <c r="J555" t="s">
        <v>3628</v>
      </c>
      <c r="K555">
        <v>4</v>
      </c>
      <c r="L555" t="s">
        <v>4276</v>
      </c>
      <c r="M555" s="3" t="s">
        <v>4279</v>
      </c>
      <c r="N555">
        <v>667.66</v>
      </c>
    </row>
    <row r="556" spans="1:14" x14ac:dyDescent="0.35">
      <c r="A556" t="s">
        <v>568</v>
      </c>
      <c r="B556" t="s">
        <v>4706</v>
      </c>
      <c r="C556" t="s">
        <v>1768</v>
      </c>
      <c r="D556" s="3" t="s">
        <v>2408</v>
      </c>
      <c r="E556">
        <v>2</v>
      </c>
      <c r="F556">
        <v>492.9</v>
      </c>
      <c r="G556" t="s">
        <v>2610</v>
      </c>
      <c r="H556" s="3" t="s">
        <v>3069</v>
      </c>
      <c r="I556" s="3" t="s">
        <v>3072</v>
      </c>
      <c r="J556" t="s">
        <v>3629</v>
      </c>
      <c r="K556">
        <v>5</v>
      </c>
      <c r="L556" t="s">
        <v>4276</v>
      </c>
      <c r="M556" s="3" t="s">
        <v>4278</v>
      </c>
      <c r="N556">
        <v>985.8</v>
      </c>
    </row>
    <row r="557" spans="1:14" x14ac:dyDescent="0.35">
      <c r="A557" t="s">
        <v>569</v>
      </c>
      <c r="B557" t="s">
        <v>4317</v>
      </c>
      <c r="C557" t="s">
        <v>1769</v>
      </c>
      <c r="D557" s="3" t="s">
        <v>2405</v>
      </c>
      <c r="E557">
        <v>1</v>
      </c>
      <c r="F557">
        <v>92.04</v>
      </c>
      <c r="G557" t="s">
        <v>2420</v>
      </c>
      <c r="H557" s="3" t="s">
        <v>3069</v>
      </c>
      <c r="I557" s="3" t="s">
        <v>3070</v>
      </c>
      <c r="J557" t="s">
        <v>3630</v>
      </c>
      <c r="K557">
        <v>2</v>
      </c>
      <c r="L557" t="s">
        <v>4292</v>
      </c>
      <c r="M557" s="3" t="s">
        <v>4281</v>
      </c>
      <c r="N557">
        <v>92.04</v>
      </c>
    </row>
    <row r="558" spans="1:14" x14ac:dyDescent="0.35">
      <c r="A558" t="s">
        <v>570</v>
      </c>
      <c r="B558" t="s">
        <v>4707</v>
      </c>
      <c r="C558" t="s">
        <v>1770</v>
      </c>
      <c r="D558" s="3" t="s">
        <v>2408</v>
      </c>
      <c r="E558">
        <v>1</v>
      </c>
      <c r="F558">
        <v>654.27</v>
      </c>
      <c r="G558" t="s">
        <v>2817</v>
      </c>
      <c r="H558" s="3" t="s">
        <v>3068</v>
      </c>
      <c r="I558" s="3" t="s">
        <v>3074</v>
      </c>
      <c r="J558" t="s">
        <v>3631</v>
      </c>
      <c r="K558">
        <v>2</v>
      </c>
      <c r="L558" t="s">
        <v>4275</v>
      </c>
      <c r="M558" s="3" t="s">
        <v>4281</v>
      </c>
      <c r="N558">
        <v>654.27</v>
      </c>
    </row>
    <row r="559" spans="1:14" x14ac:dyDescent="0.35">
      <c r="A559" t="s">
        <v>571</v>
      </c>
      <c r="B559" t="s">
        <v>4566</v>
      </c>
      <c r="C559" t="s">
        <v>1771</v>
      </c>
      <c r="D559" s="3" t="s">
        <v>2405</v>
      </c>
      <c r="E559">
        <v>1</v>
      </c>
      <c r="F559">
        <v>56.2</v>
      </c>
      <c r="G559" t="s">
        <v>2818</v>
      </c>
      <c r="H559" s="3" t="s">
        <v>3065</v>
      </c>
      <c r="I559" s="3" t="s">
        <v>3074</v>
      </c>
      <c r="J559" t="s">
        <v>3632</v>
      </c>
      <c r="K559">
        <v>1</v>
      </c>
      <c r="L559" t="s">
        <v>4277</v>
      </c>
      <c r="M559" s="3" t="s">
        <v>4281</v>
      </c>
      <c r="N559">
        <v>56.2</v>
      </c>
    </row>
    <row r="560" spans="1:14" x14ac:dyDescent="0.35">
      <c r="A560" t="s">
        <v>572</v>
      </c>
      <c r="B560" t="s">
        <v>4708</v>
      </c>
      <c r="C560" t="s">
        <v>1772</v>
      </c>
      <c r="D560" s="3" t="s">
        <v>2404</v>
      </c>
      <c r="E560">
        <v>4</v>
      </c>
      <c r="F560">
        <v>628.12</v>
      </c>
      <c r="G560" t="s">
        <v>2819</v>
      </c>
      <c r="H560" s="3" t="s">
        <v>3066</v>
      </c>
      <c r="I560" s="3" t="s">
        <v>3073</v>
      </c>
      <c r="J560" t="s">
        <v>3633</v>
      </c>
      <c r="K560">
        <v>6</v>
      </c>
      <c r="L560" t="s">
        <v>4277</v>
      </c>
      <c r="M560" s="3" t="s">
        <v>4278</v>
      </c>
      <c r="N560">
        <v>2512.48</v>
      </c>
    </row>
    <row r="561" spans="1:14" x14ac:dyDescent="0.35">
      <c r="A561" t="s">
        <v>573</v>
      </c>
      <c r="B561" t="s">
        <v>4400</v>
      </c>
      <c r="C561" t="s">
        <v>1773</v>
      </c>
      <c r="D561" s="3" t="s">
        <v>2409</v>
      </c>
      <c r="E561">
        <v>3</v>
      </c>
      <c r="F561">
        <v>157.4</v>
      </c>
      <c r="G561" t="s">
        <v>2790</v>
      </c>
      <c r="H561" s="3" t="s">
        <v>3065</v>
      </c>
      <c r="I561" s="3" t="s">
        <v>3071</v>
      </c>
      <c r="J561" t="s">
        <v>3634</v>
      </c>
      <c r="K561">
        <v>7</v>
      </c>
      <c r="L561" t="s">
        <v>4277</v>
      </c>
      <c r="M561" s="3" t="s">
        <v>4280</v>
      </c>
      <c r="N561">
        <v>472.2</v>
      </c>
    </row>
    <row r="562" spans="1:14" x14ac:dyDescent="0.35">
      <c r="A562" t="s">
        <v>574</v>
      </c>
      <c r="B562" t="s">
        <v>4709</v>
      </c>
      <c r="C562" t="s">
        <v>1774</v>
      </c>
      <c r="D562" s="3" t="s">
        <v>2403</v>
      </c>
      <c r="E562">
        <v>4</v>
      </c>
      <c r="F562">
        <v>588.85</v>
      </c>
      <c r="G562" t="s">
        <v>2820</v>
      </c>
      <c r="H562" s="3" t="s">
        <v>3068</v>
      </c>
      <c r="I562" s="3" t="s">
        <v>3074</v>
      </c>
      <c r="J562" t="s">
        <v>3635</v>
      </c>
      <c r="K562">
        <v>7</v>
      </c>
      <c r="L562" t="s">
        <v>4292</v>
      </c>
      <c r="M562" s="3" t="s">
        <v>4280</v>
      </c>
      <c r="N562">
        <v>2355.4</v>
      </c>
    </row>
    <row r="563" spans="1:14" x14ac:dyDescent="0.35">
      <c r="A563" t="s">
        <v>575</v>
      </c>
      <c r="B563" t="s">
        <v>4709</v>
      </c>
      <c r="C563" t="s">
        <v>1775</v>
      </c>
      <c r="D563" s="3" t="s">
        <v>2407</v>
      </c>
      <c r="E563">
        <v>2</v>
      </c>
      <c r="F563">
        <v>494.78</v>
      </c>
      <c r="G563" t="s">
        <v>2821</v>
      </c>
      <c r="H563" s="3" t="s">
        <v>3066</v>
      </c>
      <c r="I563" s="3" t="s">
        <v>3070</v>
      </c>
      <c r="J563" t="s">
        <v>3636</v>
      </c>
      <c r="K563">
        <v>2</v>
      </c>
      <c r="L563" t="s">
        <v>4292</v>
      </c>
      <c r="M563" s="3" t="s">
        <v>4282</v>
      </c>
      <c r="N563">
        <v>989.56</v>
      </c>
    </row>
    <row r="564" spans="1:14" x14ac:dyDescent="0.35">
      <c r="A564" t="s">
        <v>576</v>
      </c>
      <c r="B564" t="s">
        <v>4710</v>
      </c>
      <c r="C564" t="s">
        <v>1776</v>
      </c>
      <c r="D564" s="3" t="s">
        <v>2408</v>
      </c>
      <c r="E564">
        <v>3</v>
      </c>
      <c r="F564">
        <v>663.93</v>
      </c>
      <c r="G564" t="s">
        <v>2500</v>
      </c>
      <c r="H564" s="3" t="s">
        <v>3068</v>
      </c>
      <c r="I564" s="3" t="s">
        <v>3072</v>
      </c>
      <c r="J564" t="s">
        <v>3637</v>
      </c>
      <c r="K564">
        <v>6</v>
      </c>
      <c r="L564" t="s">
        <v>4276</v>
      </c>
      <c r="M564" s="3" t="s">
        <v>4280</v>
      </c>
      <c r="N564">
        <v>1991.79</v>
      </c>
    </row>
    <row r="565" spans="1:14" x14ac:dyDescent="0.35">
      <c r="A565" t="s">
        <v>577</v>
      </c>
      <c r="B565" t="s">
        <v>4711</v>
      </c>
      <c r="C565" t="s">
        <v>1777</v>
      </c>
      <c r="D565" s="3" t="s">
        <v>2408</v>
      </c>
      <c r="E565">
        <v>1</v>
      </c>
      <c r="F565">
        <v>132.68</v>
      </c>
      <c r="G565" t="s">
        <v>2822</v>
      </c>
      <c r="H565" s="3" t="s">
        <v>3065</v>
      </c>
      <c r="I565" s="3" t="s">
        <v>3072</v>
      </c>
      <c r="J565" t="s">
        <v>3638</v>
      </c>
      <c r="K565">
        <v>1</v>
      </c>
      <c r="L565" t="s">
        <v>4275</v>
      </c>
      <c r="M565" s="3" t="s">
        <v>4279</v>
      </c>
      <c r="N565">
        <v>132.68</v>
      </c>
    </row>
    <row r="566" spans="1:14" x14ac:dyDescent="0.35">
      <c r="A566" t="s">
        <v>578</v>
      </c>
      <c r="B566" t="s">
        <v>4712</v>
      </c>
      <c r="C566" t="s">
        <v>1778</v>
      </c>
      <c r="D566" s="3" t="s">
        <v>2409</v>
      </c>
      <c r="E566">
        <v>5</v>
      </c>
      <c r="F566">
        <v>364.28</v>
      </c>
      <c r="G566" t="s">
        <v>2823</v>
      </c>
      <c r="H566" s="3" t="s">
        <v>3067</v>
      </c>
      <c r="I566" s="3" t="s">
        <v>3071</v>
      </c>
      <c r="J566" t="s">
        <v>3639</v>
      </c>
      <c r="K566">
        <v>5</v>
      </c>
      <c r="L566" t="s">
        <v>4277</v>
      </c>
      <c r="M566" s="3" t="s">
        <v>4282</v>
      </c>
      <c r="N566">
        <v>1821.4</v>
      </c>
    </row>
    <row r="567" spans="1:14" x14ac:dyDescent="0.35">
      <c r="A567" t="s">
        <v>579</v>
      </c>
      <c r="B567" t="s">
        <v>4713</v>
      </c>
      <c r="C567" t="s">
        <v>1779</v>
      </c>
      <c r="D567" s="3" t="s">
        <v>2405</v>
      </c>
      <c r="E567">
        <v>5</v>
      </c>
      <c r="F567">
        <v>307.98</v>
      </c>
      <c r="G567" t="s">
        <v>2770</v>
      </c>
      <c r="H567" s="3" t="s">
        <v>3066</v>
      </c>
      <c r="I567" s="3" t="s">
        <v>3074</v>
      </c>
      <c r="J567" t="s">
        <v>3640</v>
      </c>
      <c r="K567">
        <v>10</v>
      </c>
      <c r="L567" t="s">
        <v>4292</v>
      </c>
      <c r="M567" s="3" t="s">
        <v>4281</v>
      </c>
      <c r="N567">
        <v>1539.9</v>
      </c>
    </row>
    <row r="568" spans="1:14" x14ac:dyDescent="0.35">
      <c r="A568" t="s">
        <v>580</v>
      </c>
      <c r="B568" t="s">
        <v>4455</v>
      </c>
      <c r="C568" t="s">
        <v>1780</v>
      </c>
      <c r="D568" s="3" t="s">
        <v>2404</v>
      </c>
      <c r="E568">
        <v>4</v>
      </c>
      <c r="F568">
        <v>162.71</v>
      </c>
      <c r="G568" t="s">
        <v>2824</v>
      </c>
      <c r="H568" s="3" t="s">
        <v>3069</v>
      </c>
      <c r="I568" s="3" t="s">
        <v>3071</v>
      </c>
      <c r="J568" t="s">
        <v>3641</v>
      </c>
      <c r="K568">
        <v>7</v>
      </c>
      <c r="L568" t="s">
        <v>4276</v>
      </c>
      <c r="M568" s="3" t="s">
        <v>4280</v>
      </c>
      <c r="N568">
        <v>650.84</v>
      </c>
    </row>
    <row r="569" spans="1:14" x14ac:dyDescent="0.35">
      <c r="A569" t="s">
        <v>581</v>
      </c>
      <c r="B569" t="s">
        <v>4714</v>
      </c>
      <c r="C569" t="s">
        <v>1781</v>
      </c>
      <c r="D569" s="3" t="s">
        <v>2406</v>
      </c>
      <c r="E569">
        <v>5</v>
      </c>
      <c r="F569">
        <v>492.94</v>
      </c>
      <c r="G569" t="s">
        <v>2632</v>
      </c>
      <c r="H569" s="3" t="s">
        <v>3069</v>
      </c>
      <c r="I569" s="3" t="s">
        <v>3070</v>
      </c>
      <c r="J569" t="s">
        <v>3642</v>
      </c>
      <c r="K569">
        <v>10</v>
      </c>
      <c r="L569" t="s">
        <v>4276</v>
      </c>
      <c r="M569" s="3" t="s">
        <v>4280</v>
      </c>
      <c r="N569">
        <v>2464.6999999999998</v>
      </c>
    </row>
    <row r="570" spans="1:14" x14ac:dyDescent="0.35">
      <c r="A570" t="s">
        <v>582</v>
      </c>
      <c r="B570" t="s">
        <v>4685</v>
      </c>
      <c r="C570" t="s">
        <v>1782</v>
      </c>
      <c r="D570" s="3" t="s">
        <v>2408</v>
      </c>
      <c r="E570">
        <v>2</v>
      </c>
      <c r="F570">
        <v>343.99</v>
      </c>
      <c r="G570" t="s">
        <v>2714</v>
      </c>
      <c r="H570" s="3" t="s">
        <v>3066</v>
      </c>
      <c r="I570" s="3" t="s">
        <v>3073</v>
      </c>
      <c r="J570" t="s">
        <v>3643</v>
      </c>
      <c r="K570">
        <v>4</v>
      </c>
      <c r="L570" t="s">
        <v>4292</v>
      </c>
      <c r="M570" s="3" t="s">
        <v>4282</v>
      </c>
      <c r="N570">
        <v>687.98</v>
      </c>
    </row>
    <row r="571" spans="1:14" x14ac:dyDescent="0.35">
      <c r="A571" t="s">
        <v>583</v>
      </c>
      <c r="B571" t="s">
        <v>4313</v>
      </c>
      <c r="C571" t="s">
        <v>1783</v>
      </c>
      <c r="D571" s="3" t="s">
        <v>2409</v>
      </c>
      <c r="E571">
        <v>5</v>
      </c>
      <c r="F571">
        <v>250.68</v>
      </c>
      <c r="G571" t="s">
        <v>2774</v>
      </c>
      <c r="H571" s="3" t="s">
        <v>3069</v>
      </c>
      <c r="I571" s="3" t="s">
        <v>3070</v>
      </c>
      <c r="J571" t="s">
        <v>3644</v>
      </c>
      <c r="K571">
        <v>8</v>
      </c>
      <c r="L571" t="s">
        <v>4275</v>
      </c>
      <c r="M571" s="3" t="s">
        <v>4278</v>
      </c>
      <c r="N571">
        <v>1253.4000000000001</v>
      </c>
    </row>
    <row r="572" spans="1:14" x14ac:dyDescent="0.35">
      <c r="A572" t="s">
        <v>584</v>
      </c>
      <c r="B572" t="s">
        <v>4715</v>
      </c>
      <c r="C572" t="s">
        <v>1784</v>
      </c>
      <c r="D572" s="3" t="s">
        <v>2409</v>
      </c>
      <c r="E572">
        <v>2</v>
      </c>
      <c r="F572">
        <v>362.14</v>
      </c>
      <c r="G572" t="s">
        <v>2518</v>
      </c>
      <c r="H572" s="3" t="s">
        <v>3065</v>
      </c>
      <c r="I572" s="3" t="s">
        <v>3074</v>
      </c>
      <c r="J572" t="s">
        <v>3645</v>
      </c>
      <c r="K572">
        <v>2</v>
      </c>
      <c r="L572" t="s">
        <v>4275</v>
      </c>
      <c r="M572" s="3" t="s">
        <v>4278</v>
      </c>
      <c r="N572">
        <v>724.28</v>
      </c>
    </row>
    <row r="573" spans="1:14" x14ac:dyDescent="0.35">
      <c r="A573" t="s">
        <v>585</v>
      </c>
      <c r="B573" t="s">
        <v>4716</v>
      </c>
      <c r="C573" t="s">
        <v>1785</v>
      </c>
      <c r="D573" s="3" t="s">
        <v>2405</v>
      </c>
      <c r="E573">
        <v>1</v>
      </c>
      <c r="F573">
        <v>214.08</v>
      </c>
      <c r="G573" t="s">
        <v>2779</v>
      </c>
      <c r="H573" s="3" t="s">
        <v>3068</v>
      </c>
      <c r="I573" s="3" t="s">
        <v>3072</v>
      </c>
      <c r="J573" t="s">
        <v>3646</v>
      </c>
      <c r="K573">
        <v>2</v>
      </c>
      <c r="L573" t="s">
        <v>4277</v>
      </c>
      <c r="M573" s="3" t="s">
        <v>4282</v>
      </c>
      <c r="N573">
        <v>214.08</v>
      </c>
    </row>
    <row r="574" spans="1:14" x14ac:dyDescent="0.35">
      <c r="A574" t="s">
        <v>586</v>
      </c>
      <c r="B574" t="s">
        <v>4717</v>
      </c>
      <c r="C574" t="s">
        <v>1786</v>
      </c>
      <c r="D574" s="3" t="s">
        <v>2407</v>
      </c>
      <c r="E574">
        <v>1</v>
      </c>
      <c r="F574">
        <v>70.319999999999993</v>
      </c>
      <c r="G574" t="s">
        <v>2722</v>
      </c>
      <c r="H574" s="3" t="s">
        <v>3069</v>
      </c>
      <c r="I574" s="3" t="s">
        <v>3072</v>
      </c>
      <c r="J574" t="s">
        <v>3647</v>
      </c>
      <c r="K574">
        <v>4</v>
      </c>
      <c r="L574" t="s">
        <v>4277</v>
      </c>
      <c r="M574" s="3" t="s">
        <v>4281</v>
      </c>
      <c r="N574">
        <v>70.319999999999993</v>
      </c>
    </row>
    <row r="575" spans="1:14" x14ac:dyDescent="0.35">
      <c r="A575" t="s">
        <v>587</v>
      </c>
      <c r="B575" t="s">
        <v>4545</v>
      </c>
      <c r="C575" t="s">
        <v>1787</v>
      </c>
      <c r="D575" s="3" t="s">
        <v>2406</v>
      </c>
      <c r="E575">
        <v>5</v>
      </c>
      <c r="F575">
        <v>421.42</v>
      </c>
      <c r="G575" t="s">
        <v>2511</v>
      </c>
      <c r="H575" s="3" t="s">
        <v>3065</v>
      </c>
      <c r="I575" s="3" t="s">
        <v>3071</v>
      </c>
      <c r="J575" t="s">
        <v>3648</v>
      </c>
      <c r="K575">
        <v>7</v>
      </c>
      <c r="L575" t="s">
        <v>4292</v>
      </c>
      <c r="M575" s="3" t="s">
        <v>4278</v>
      </c>
      <c r="N575">
        <v>2107.1</v>
      </c>
    </row>
    <row r="576" spans="1:14" x14ac:dyDescent="0.35">
      <c r="A576" t="s">
        <v>588</v>
      </c>
      <c r="B576" t="s">
        <v>4718</v>
      </c>
      <c r="C576" t="s">
        <v>1788</v>
      </c>
      <c r="D576" s="3" t="s">
        <v>2406</v>
      </c>
      <c r="E576">
        <v>5</v>
      </c>
      <c r="F576">
        <v>384.69</v>
      </c>
      <c r="G576" t="s">
        <v>2413</v>
      </c>
      <c r="H576" s="3" t="s">
        <v>3067</v>
      </c>
      <c r="I576" s="3" t="s">
        <v>3074</v>
      </c>
      <c r="J576" t="s">
        <v>3649</v>
      </c>
      <c r="K576">
        <v>6</v>
      </c>
      <c r="L576" t="s">
        <v>4276</v>
      </c>
      <c r="M576" s="3" t="s">
        <v>4280</v>
      </c>
      <c r="N576">
        <v>1923.45</v>
      </c>
    </row>
    <row r="577" spans="1:14" x14ac:dyDescent="0.35">
      <c r="A577" t="s">
        <v>589</v>
      </c>
      <c r="B577" t="s">
        <v>4607</v>
      </c>
      <c r="C577" t="s">
        <v>1789</v>
      </c>
      <c r="D577" s="3" t="s">
        <v>2406</v>
      </c>
      <c r="E577">
        <v>5</v>
      </c>
      <c r="F577">
        <v>448.15</v>
      </c>
      <c r="G577" t="s">
        <v>2825</v>
      </c>
      <c r="H577" s="3" t="s">
        <v>3068</v>
      </c>
      <c r="I577" s="3" t="s">
        <v>3072</v>
      </c>
      <c r="J577" t="s">
        <v>3650</v>
      </c>
      <c r="K577">
        <v>7</v>
      </c>
      <c r="L577" t="s">
        <v>4275</v>
      </c>
      <c r="M577" s="3" t="s">
        <v>4282</v>
      </c>
      <c r="N577">
        <v>2240.75</v>
      </c>
    </row>
    <row r="578" spans="1:14" x14ac:dyDescent="0.35">
      <c r="A578" t="s">
        <v>590</v>
      </c>
      <c r="B578" t="s">
        <v>4666</v>
      </c>
      <c r="C578" t="s">
        <v>1790</v>
      </c>
      <c r="D578" s="3" t="s">
        <v>2408</v>
      </c>
      <c r="E578">
        <v>5</v>
      </c>
      <c r="F578">
        <v>79.08</v>
      </c>
      <c r="G578" t="s">
        <v>2710</v>
      </c>
      <c r="H578" s="3" t="s">
        <v>3069</v>
      </c>
      <c r="I578" s="3" t="s">
        <v>3074</v>
      </c>
      <c r="J578" t="s">
        <v>3651</v>
      </c>
      <c r="K578">
        <v>8</v>
      </c>
      <c r="L578" t="s">
        <v>4292</v>
      </c>
      <c r="M578" s="3" t="s">
        <v>4281</v>
      </c>
      <c r="N578">
        <v>395.4</v>
      </c>
    </row>
    <row r="579" spans="1:14" x14ac:dyDescent="0.35">
      <c r="A579" t="s">
        <v>591</v>
      </c>
      <c r="B579" t="s">
        <v>4339</v>
      </c>
      <c r="C579" t="s">
        <v>1791</v>
      </c>
      <c r="D579" s="3" t="s">
        <v>2405</v>
      </c>
      <c r="E579">
        <v>4</v>
      </c>
      <c r="F579">
        <v>185.41</v>
      </c>
      <c r="G579" t="s">
        <v>2488</v>
      </c>
      <c r="H579" s="3" t="s">
        <v>3066</v>
      </c>
      <c r="I579" s="3" t="s">
        <v>3072</v>
      </c>
      <c r="J579" t="s">
        <v>3652</v>
      </c>
      <c r="K579">
        <v>9</v>
      </c>
      <c r="L579" t="s">
        <v>4277</v>
      </c>
      <c r="M579" s="3" t="s">
        <v>4282</v>
      </c>
      <c r="N579">
        <v>741.64</v>
      </c>
    </row>
    <row r="580" spans="1:14" x14ac:dyDescent="0.35">
      <c r="A580" t="s">
        <v>592</v>
      </c>
      <c r="B580" t="s">
        <v>4368</v>
      </c>
      <c r="C580" t="s">
        <v>1792</v>
      </c>
      <c r="D580" s="3" t="s">
        <v>2403</v>
      </c>
      <c r="E580">
        <v>5</v>
      </c>
      <c r="F580">
        <v>566.07000000000005</v>
      </c>
      <c r="G580" t="s">
        <v>2430</v>
      </c>
      <c r="H580" s="3" t="s">
        <v>3067</v>
      </c>
      <c r="I580" s="3" t="s">
        <v>3073</v>
      </c>
      <c r="J580" t="s">
        <v>3653</v>
      </c>
      <c r="K580">
        <v>6</v>
      </c>
      <c r="L580" t="s">
        <v>4275</v>
      </c>
      <c r="M580" s="3" t="s">
        <v>4278</v>
      </c>
      <c r="N580">
        <v>2830.35</v>
      </c>
    </row>
    <row r="581" spans="1:14" x14ac:dyDescent="0.35">
      <c r="A581" t="s">
        <v>593</v>
      </c>
      <c r="B581" t="s">
        <v>4527</v>
      </c>
      <c r="C581" t="s">
        <v>1793</v>
      </c>
      <c r="D581" s="3" t="s">
        <v>2405</v>
      </c>
      <c r="E581">
        <v>2</v>
      </c>
      <c r="F581">
        <v>187.88</v>
      </c>
      <c r="G581" t="s">
        <v>2679</v>
      </c>
      <c r="H581" s="3" t="s">
        <v>3066</v>
      </c>
      <c r="I581" s="3" t="s">
        <v>3070</v>
      </c>
      <c r="J581" t="s">
        <v>3654</v>
      </c>
      <c r="K581">
        <v>4</v>
      </c>
      <c r="L581" t="s">
        <v>4277</v>
      </c>
      <c r="M581" s="3" t="s">
        <v>4281</v>
      </c>
      <c r="N581">
        <v>375.76</v>
      </c>
    </row>
    <row r="582" spans="1:14" x14ac:dyDescent="0.35">
      <c r="A582" t="s">
        <v>594</v>
      </c>
      <c r="B582" t="s">
        <v>4698</v>
      </c>
      <c r="C582" t="s">
        <v>1794</v>
      </c>
      <c r="D582" s="3" t="s">
        <v>2403</v>
      </c>
      <c r="E582">
        <v>2</v>
      </c>
      <c r="F582">
        <v>255.99</v>
      </c>
      <c r="G582" t="s">
        <v>2826</v>
      </c>
      <c r="H582" s="3" t="s">
        <v>3067</v>
      </c>
      <c r="I582" s="3" t="s">
        <v>3073</v>
      </c>
      <c r="J582" t="s">
        <v>3655</v>
      </c>
      <c r="K582">
        <v>4</v>
      </c>
      <c r="L582" t="s">
        <v>4275</v>
      </c>
      <c r="M582" s="3" t="s">
        <v>4278</v>
      </c>
      <c r="N582">
        <v>511.98</v>
      </c>
    </row>
    <row r="583" spans="1:14" x14ac:dyDescent="0.35">
      <c r="A583" t="s">
        <v>595</v>
      </c>
      <c r="B583" t="s">
        <v>4719</v>
      </c>
      <c r="C583" t="s">
        <v>1795</v>
      </c>
      <c r="D583" s="3" t="s">
        <v>2408</v>
      </c>
      <c r="E583">
        <v>1</v>
      </c>
      <c r="F583">
        <v>627.34</v>
      </c>
      <c r="G583" t="s">
        <v>2425</v>
      </c>
      <c r="H583" s="3" t="s">
        <v>3066</v>
      </c>
      <c r="I583" s="3" t="s">
        <v>3073</v>
      </c>
      <c r="J583" t="s">
        <v>3656</v>
      </c>
      <c r="K583">
        <v>1</v>
      </c>
      <c r="L583" t="s">
        <v>4292</v>
      </c>
      <c r="M583" s="3" t="s">
        <v>4279</v>
      </c>
      <c r="N583">
        <v>627.34</v>
      </c>
    </row>
    <row r="584" spans="1:14" x14ac:dyDescent="0.35">
      <c r="A584" t="s">
        <v>596</v>
      </c>
      <c r="B584" t="s">
        <v>4720</v>
      </c>
      <c r="C584" t="s">
        <v>1796</v>
      </c>
      <c r="D584" s="3" t="s">
        <v>2405</v>
      </c>
      <c r="E584">
        <v>3</v>
      </c>
      <c r="F584">
        <v>474.14</v>
      </c>
      <c r="G584" t="s">
        <v>2727</v>
      </c>
      <c r="H584" s="3" t="s">
        <v>3068</v>
      </c>
      <c r="I584" s="3" t="s">
        <v>3070</v>
      </c>
      <c r="J584" t="s">
        <v>3657</v>
      </c>
      <c r="K584">
        <v>8</v>
      </c>
      <c r="L584" t="s">
        <v>4277</v>
      </c>
      <c r="M584" s="3" t="s">
        <v>4282</v>
      </c>
      <c r="N584">
        <v>1422.42</v>
      </c>
    </row>
    <row r="585" spans="1:14" x14ac:dyDescent="0.35">
      <c r="A585" t="s">
        <v>597</v>
      </c>
      <c r="B585" t="s">
        <v>4721</v>
      </c>
      <c r="C585" t="s">
        <v>1797</v>
      </c>
      <c r="D585" s="3" t="s">
        <v>2406</v>
      </c>
      <c r="E585">
        <v>3</v>
      </c>
      <c r="F585">
        <v>154.37</v>
      </c>
      <c r="G585" t="s">
        <v>2441</v>
      </c>
      <c r="H585" s="3" t="s">
        <v>3068</v>
      </c>
      <c r="I585" s="3" t="s">
        <v>3073</v>
      </c>
      <c r="J585" t="s">
        <v>3658</v>
      </c>
      <c r="K585">
        <v>4</v>
      </c>
      <c r="L585" t="s">
        <v>4292</v>
      </c>
      <c r="M585" s="3" t="s">
        <v>4278</v>
      </c>
      <c r="N585">
        <v>463.11</v>
      </c>
    </row>
    <row r="586" spans="1:14" x14ac:dyDescent="0.35">
      <c r="A586" t="s">
        <v>598</v>
      </c>
      <c r="B586" t="s">
        <v>4722</v>
      </c>
      <c r="C586" t="s">
        <v>1798</v>
      </c>
      <c r="D586" s="3" t="s">
        <v>2406</v>
      </c>
      <c r="E586">
        <v>4</v>
      </c>
      <c r="F586">
        <v>145.05000000000001</v>
      </c>
      <c r="G586" t="s">
        <v>2827</v>
      </c>
      <c r="H586" s="3" t="s">
        <v>3066</v>
      </c>
      <c r="I586" s="3" t="s">
        <v>3073</v>
      </c>
      <c r="J586" t="s">
        <v>3659</v>
      </c>
      <c r="K586">
        <v>6</v>
      </c>
      <c r="L586" t="s">
        <v>4275</v>
      </c>
      <c r="M586" s="3" t="s">
        <v>4282</v>
      </c>
      <c r="N586">
        <v>580.20000000000005</v>
      </c>
    </row>
    <row r="587" spans="1:14" x14ac:dyDescent="0.35">
      <c r="A587" t="s">
        <v>599</v>
      </c>
      <c r="B587" t="s">
        <v>4322</v>
      </c>
      <c r="C587" t="s">
        <v>1799</v>
      </c>
      <c r="D587" s="3" t="s">
        <v>2405</v>
      </c>
      <c r="E587">
        <v>4</v>
      </c>
      <c r="F587">
        <v>67.08</v>
      </c>
      <c r="G587" t="s">
        <v>2709</v>
      </c>
      <c r="H587" s="3" t="s">
        <v>3069</v>
      </c>
      <c r="I587" s="3" t="s">
        <v>3072</v>
      </c>
      <c r="J587" t="s">
        <v>3660</v>
      </c>
      <c r="K587">
        <v>8</v>
      </c>
      <c r="L587" t="s">
        <v>4277</v>
      </c>
      <c r="M587" s="3" t="s">
        <v>4282</v>
      </c>
      <c r="N587">
        <v>268.32</v>
      </c>
    </row>
    <row r="588" spans="1:14" x14ac:dyDescent="0.35">
      <c r="A588" t="s">
        <v>600</v>
      </c>
      <c r="B588" t="s">
        <v>4621</v>
      </c>
      <c r="C588" t="s">
        <v>1800</v>
      </c>
      <c r="D588" s="3" t="s">
        <v>2403</v>
      </c>
      <c r="E588">
        <v>1</v>
      </c>
      <c r="F588">
        <v>522.08000000000004</v>
      </c>
      <c r="G588" t="s">
        <v>2828</v>
      </c>
      <c r="H588" s="3" t="s">
        <v>3068</v>
      </c>
      <c r="I588" s="3" t="s">
        <v>3072</v>
      </c>
      <c r="J588" t="s">
        <v>3661</v>
      </c>
      <c r="K588">
        <v>5</v>
      </c>
      <c r="L588" t="s">
        <v>4276</v>
      </c>
      <c r="M588" s="3" t="s">
        <v>4279</v>
      </c>
      <c r="N588">
        <v>522.08000000000004</v>
      </c>
    </row>
    <row r="589" spans="1:14" x14ac:dyDescent="0.35">
      <c r="A589" t="s">
        <v>601</v>
      </c>
      <c r="B589" t="s">
        <v>4723</v>
      </c>
      <c r="C589" t="s">
        <v>1801</v>
      </c>
      <c r="D589" s="3" t="s">
        <v>2403</v>
      </c>
      <c r="E589">
        <v>5</v>
      </c>
      <c r="F589">
        <v>514.6</v>
      </c>
      <c r="G589" t="s">
        <v>2829</v>
      </c>
      <c r="H589" s="3" t="s">
        <v>3068</v>
      </c>
      <c r="I589" s="3" t="s">
        <v>3073</v>
      </c>
      <c r="J589" t="s">
        <v>3662</v>
      </c>
      <c r="K589">
        <v>10</v>
      </c>
      <c r="L589" t="s">
        <v>4276</v>
      </c>
      <c r="M589" s="3" t="s">
        <v>4278</v>
      </c>
      <c r="N589">
        <v>2573</v>
      </c>
    </row>
    <row r="590" spans="1:14" x14ac:dyDescent="0.35">
      <c r="A590" t="s">
        <v>602</v>
      </c>
      <c r="B590" t="s">
        <v>4724</v>
      </c>
      <c r="C590" t="s">
        <v>1802</v>
      </c>
      <c r="D590" s="3" t="s">
        <v>2403</v>
      </c>
      <c r="E590">
        <v>4</v>
      </c>
      <c r="F590">
        <v>577.82000000000005</v>
      </c>
      <c r="G590" t="s">
        <v>2465</v>
      </c>
      <c r="H590" s="3" t="s">
        <v>3067</v>
      </c>
      <c r="I590" s="3" t="s">
        <v>3073</v>
      </c>
      <c r="J590" t="s">
        <v>3663</v>
      </c>
      <c r="K590">
        <v>9</v>
      </c>
      <c r="L590" t="s">
        <v>4292</v>
      </c>
      <c r="M590" s="3" t="s">
        <v>4282</v>
      </c>
      <c r="N590">
        <v>2311.2800000000002</v>
      </c>
    </row>
    <row r="591" spans="1:14" x14ac:dyDescent="0.35">
      <c r="A591" t="s">
        <v>603</v>
      </c>
      <c r="B591" t="s">
        <v>4725</v>
      </c>
      <c r="C591" t="s">
        <v>1803</v>
      </c>
      <c r="D591" s="3" t="s">
        <v>2408</v>
      </c>
      <c r="E591">
        <v>2</v>
      </c>
      <c r="F591">
        <v>500.8</v>
      </c>
      <c r="G591" t="s">
        <v>2830</v>
      </c>
      <c r="H591" s="3" t="s">
        <v>3069</v>
      </c>
      <c r="I591" s="3" t="s">
        <v>3073</v>
      </c>
      <c r="J591" t="s">
        <v>3664</v>
      </c>
      <c r="K591">
        <v>3</v>
      </c>
      <c r="L591" t="s">
        <v>4276</v>
      </c>
      <c r="M591" s="3" t="s">
        <v>4279</v>
      </c>
      <c r="N591">
        <v>1001.6</v>
      </c>
    </row>
    <row r="592" spans="1:14" x14ac:dyDescent="0.35">
      <c r="A592" t="s">
        <v>604</v>
      </c>
      <c r="B592" t="s">
        <v>4726</v>
      </c>
      <c r="C592" t="s">
        <v>1804</v>
      </c>
      <c r="D592" s="3" t="s">
        <v>2407</v>
      </c>
      <c r="E592">
        <v>2</v>
      </c>
      <c r="F592">
        <v>461.13</v>
      </c>
      <c r="G592" t="s">
        <v>2831</v>
      </c>
      <c r="H592" s="3" t="s">
        <v>3068</v>
      </c>
      <c r="I592" s="3" t="s">
        <v>3072</v>
      </c>
      <c r="J592" t="s">
        <v>3665</v>
      </c>
      <c r="K592">
        <v>4</v>
      </c>
      <c r="L592" t="s">
        <v>4292</v>
      </c>
      <c r="M592" s="3" t="s">
        <v>4280</v>
      </c>
      <c r="N592">
        <v>922.26</v>
      </c>
    </row>
    <row r="593" spans="1:14" x14ac:dyDescent="0.35">
      <c r="A593" t="s">
        <v>605</v>
      </c>
      <c r="B593" t="s">
        <v>4533</v>
      </c>
      <c r="C593" t="s">
        <v>1805</v>
      </c>
      <c r="D593" s="3" t="s">
        <v>2408</v>
      </c>
      <c r="E593">
        <v>1</v>
      </c>
      <c r="F593">
        <v>605.28</v>
      </c>
      <c r="G593" t="s">
        <v>2832</v>
      </c>
      <c r="H593" s="3" t="s">
        <v>3068</v>
      </c>
      <c r="I593" s="3" t="s">
        <v>3070</v>
      </c>
      <c r="J593" t="s">
        <v>3666</v>
      </c>
      <c r="K593">
        <v>3</v>
      </c>
      <c r="L593" t="s">
        <v>4276</v>
      </c>
      <c r="M593" s="3" t="s">
        <v>4279</v>
      </c>
      <c r="N593">
        <v>605.28</v>
      </c>
    </row>
    <row r="594" spans="1:14" x14ac:dyDescent="0.35">
      <c r="A594" t="s">
        <v>606</v>
      </c>
      <c r="B594" t="s">
        <v>4518</v>
      </c>
      <c r="C594" t="s">
        <v>1806</v>
      </c>
      <c r="D594" s="3" t="s">
        <v>2404</v>
      </c>
      <c r="E594">
        <v>3</v>
      </c>
      <c r="F594">
        <v>204.27</v>
      </c>
      <c r="G594" t="s">
        <v>2803</v>
      </c>
      <c r="H594" s="3" t="s">
        <v>3066</v>
      </c>
      <c r="I594" s="3" t="s">
        <v>3072</v>
      </c>
      <c r="J594" t="s">
        <v>3667</v>
      </c>
      <c r="K594">
        <v>4</v>
      </c>
      <c r="L594" t="s">
        <v>4292</v>
      </c>
      <c r="M594" s="3" t="s">
        <v>4282</v>
      </c>
      <c r="N594">
        <v>612.80999999999995</v>
      </c>
    </row>
    <row r="595" spans="1:14" x14ac:dyDescent="0.35">
      <c r="A595" t="s">
        <v>607</v>
      </c>
      <c r="B595" t="s">
        <v>4727</v>
      </c>
      <c r="C595" t="s">
        <v>1807</v>
      </c>
      <c r="D595" s="3" t="s">
        <v>2403</v>
      </c>
      <c r="E595">
        <v>1</v>
      </c>
      <c r="F595">
        <v>489.8</v>
      </c>
      <c r="G595" t="s">
        <v>2535</v>
      </c>
      <c r="H595" s="3" t="s">
        <v>3068</v>
      </c>
      <c r="I595" s="3" t="s">
        <v>3070</v>
      </c>
      <c r="J595" t="s">
        <v>3668</v>
      </c>
      <c r="K595">
        <v>4</v>
      </c>
      <c r="L595" t="s">
        <v>4276</v>
      </c>
      <c r="M595" s="3" t="s">
        <v>4281</v>
      </c>
      <c r="N595">
        <v>489.8</v>
      </c>
    </row>
    <row r="596" spans="1:14" x14ac:dyDescent="0.35">
      <c r="A596" t="s">
        <v>608</v>
      </c>
      <c r="B596" t="s">
        <v>4728</v>
      </c>
      <c r="C596" t="s">
        <v>1808</v>
      </c>
      <c r="D596" s="3" t="s">
        <v>2404</v>
      </c>
      <c r="E596">
        <v>5</v>
      </c>
      <c r="F596">
        <v>72.64</v>
      </c>
      <c r="G596" t="s">
        <v>2538</v>
      </c>
      <c r="H596" s="3" t="s">
        <v>3067</v>
      </c>
      <c r="I596" s="3" t="s">
        <v>3071</v>
      </c>
      <c r="J596" t="s">
        <v>3669</v>
      </c>
      <c r="K596">
        <v>7</v>
      </c>
      <c r="L596" t="s">
        <v>4292</v>
      </c>
      <c r="M596" s="3" t="s">
        <v>4280</v>
      </c>
      <c r="N596">
        <v>363.2</v>
      </c>
    </row>
    <row r="597" spans="1:14" x14ac:dyDescent="0.35">
      <c r="A597" t="s">
        <v>609</v>
      </c>
      <c r="B597" t="s">
        <v>4729</v>
      </c>
      <c r="C597" t="s">
        <v>1809</v>
      </c>
      <c r="D597" s="3" t="s">
        <v>2407</v>
      </c>
      <c r="E597">
        <v>2</v>
      </c>
      <c r="F597">
        <v>385.16</v>
      </c>
      <c r="G597" t="s">
        <v>2833</v>
      </c>
      <c r="H597" s="3" t="s">
        <v>3066</v>
      </c>
      <c r="I597" s="3" t="s">
        <v>3074</v>
      </c>
      <c r="J597" t="s">
        <v>3670</v>
      </c>
      <c r="K597">
        <v>7</v>
      </c>
      <c r="L597" t="s">
        <v>4275</v>
      </c>
      <c r="M597" s="3" t="s">
        <v>4280</v>
      </c>
      <c r="N597">
        <v>770.32</v>
      </c>
    </row>
    <row r="598" spans="1:14" x14ac:dyDescent="0.35">
      <c r="A598" t="s">
        <v>610</v>
      </c>
      <c r="B598" t="s">
        <v>4723</v>
      </c>
      <c r="C598" t="s">
        <v>1810</v>
      </c>
      <c r="D598" s="3" t="s">
        <v>2409</v>
      </c>
      <c r="E598">
        <v>3</v>
      </c>
      <c r="F598">
        <v>606.41</v>
      </c>
      <c r="G598" t="s">
        <v>2834</v>
      </c>
      <c r="H598" s="3" t="s">
        <v>3065</v>
      </c>
      <c r="I598" s="3" t="s">
        <v>3072</v>
      </c>
      <c r="J598" t="s">
        <v>3671</v>
      </c>
      <c r="K598">
        <v>7</v>
      </c>
      <c r="L598" t="s">
        <v>4276</v>
      </c>
      <c r="M598" s="3" t="s">
        <v>4281</v>
      </c>
      <c r="N598">
        <v>1819.23</v>
      </c>
    </row>
    <row r="599" spans="1:14" x14ac:dyDescent="0.35">
      <c r="A599" t="s">
        <v>611</v>
      </c>
      <c r="B599" t="s">
        <v>4730</v>
      </c>
      <c r="C599" t="s">
        <v>1811</v>
      </c>
      <c r="D599" s="3" t="s">
        <v>2409</v>
      </c>
      <c r="E599">
        <v>2</v>
      </c>
      <c r="F599">
        <v>211.82</v>
      </c>
      <c r="G599" t="s">
        <v>2835</v>
      </c>
      <c r="H599" s="3" t="s">
        <v>3068</v>
      </c>
      <c r="I599" s="3" t="s">
        <v>3071</v>
      </c>
      <c r="J599" t="s">
        <v>3672</v>
      </c>
      <c r="K599">
        <v>4</v>
      </c>
      <c r="L599" t="s">
        <v>4277</v>
      </c>
      <c r="M599" s="3" t="s">
        <v>4280</v>
      </c>
      <c r="N599">
        <v>423.64</v>
      </c>
    </row>
    <row r="600" spans="1:14" x14ac:dyDescent="0.35">
      <c r="A600" t="s">
        <v>612</v>
      </c>
      <c r="B600" t="s">
        <v>4731</v>
      </c>
      <c r="C600" t="s">
        <v>1812</v>
      </c>
      <c r="D600" s="3" t="s">
        <v>2409</v>
      </c>
      <c r="E600">
        <v>5</v>
      </c>
      <c r="F600">
        <v>495.35</v>
      </c>
      <c r="G600" t="s">
        <v>2693</v>
      </c>
      <c r="H600" s="3" t="s">
        <v>3067</v>
      </c>
      <c r="I600" s="3" t="s">
        <v>3074</v>
      </c>
      <c r="J600" t="s">
        <v>3673</v>
      </c>
      <c r="K600">
        <v>5</v>
      </c>
      <c r="L600" t="s">
        <v>4292</v>
      </c>
      <c r="M600" s="3" t="s">
        <v>4281</v>
      </c>
      <c r="N600">
        <v>2476.75</v>
      </c>
    </row>
    <row r="601" spans="1:14" x14ac:dyDescent="0.35">
      <c r="A601" t="s">
        <v>613</v>
      </c>
      <c r="B601" t="s">
        <v>4314</v>
      </c>
      <c r="C601" t="s">
        <v>1813</v>
      </c>
      <c r="D601" s="3" t="s">
        <v>2406</v>
      </c>
      <c r="E601">
        <v>3</v>
      </c>
      <c r="F601">
        <v>556.99</v>
      </c>
      <c r="G601" t="s">
        <v>2739</v>
      </c>
      <c r="H601" s="3" t="s">
        <v>3066</v>
      </c>
      <c r="I601" s="3" t="s">
        <v>3071</v>
      </c>
      <c r="J601" t="s">
        <v>3674</v>
      </c>
      <c r="K601">
        <v>4</v>
      </c>
      <c r="L601" t="s">
        <v>4276</v>
      </c>
      <c r="M601" s="3" t="s">
        <v>4281</v>
      </c>
      <c r="N601">
        <v>1670.97</v>
      </c>
    </row>
    <row r="602" spans="1:14" x14ac:dyDescent="0.35">
      <c r="A602" t="s">
        <v>614</v>
      </c>
      <c r="B602" t="s">
        <v>4352</v>
      </c>
      <c r="C602" t="s">
        <v>1814</v>
      </c>
      <c r="D602" s="3" t="s">
        <v>2407</v>
      </c>
      <c r="E602">
        <v>1</v>
      </c>
      <c r="F602">
        <v>72.31</v>
      </c>
      <c r="G602" t="s">
        <v>2633</v>
      </c>
      <c r="H602" s="3" t="s">
        <v>3068</v>
      </c>
      <c r="I602" s="3" t="s">
        <v>3071</v>
      </c>
      <c r="J602" t="s">
        <v>3675</v>
      </c>
      <c r="K602">
        <v>1</v>
      </c>
      <c r="L602" t="s">
        <v>4276</v>
      </c>
      <c r="M602" s="3" t="s">
        <v>4281</v>
      </c>
      <c r="N602">
        <v>72.31</v>
      </c>
    </row>
    <row r="603" spans="1:14" x14ac:dyDescent="0.35">
      <c r="A603" t="s">
        <v>615</v>
      </c>
      <c r="B603" t="s">
        <v>4560</v>
      </c>
      <c r="C603" t="s">
        <v>1815</v>
      </c>
      <c r="D603" s="3" t="s">
        <v>2403</v>
      </c>
      <c r="E603">
        <v>5</v>
      </c>
      <c r="F603">
        <v>24.82</v>
      </c>
      <c r="G603" t="s">
        <v>2836</v>
      </c>
      <c r="H603" s="3" t="s">
        <v>3067</v>
      </c>
      <c r="I603" s="3" t="s">
        <v>3070</v>
      </c>
      <c r="J603" t="s">
        <v>3676</v>
      </c>
      <c r="K603">
        <v>10</v>
      </c>
      <c r="L603" t="s">
        <v>4292</v>
      </c>
      <c r="M603" s="3" t="s">
        <v>4279</v>
      </c>
      <c r="N603">
        <v>124.1</v>
      </c>
    </row>
    <row r="604" spans="1:14" x14ac:dyDescent="0.35">
      <c r="A604" t="s">
        <v>616</v>
      </c>
      <c r="B604" t="s">
        <v>4732</v>
      </c>
      <c r="C604" t="s">
        <v>1696</v>
      </c>
      <c r="D604" s="3" t="s">
        <v>2405</v>
      </c>
      <c r="E604">
        <v>4</v>
      </c>
      <c r="F604">
        <v>26.04</v>
      </c>
      <c r="G604" t="s">
        <v>2782</v>
      </c>
      <c r="H604" s="3" t="s">
        <v>3066</v>
      </c>
      <c r="I604" s="3" t="s">
        <v>3074</v>
      </c>
      <c r="J604" t="s">
        <v>3677</v>
      </c>
      <c r="K604">
        <v>5</v>
      </c>
      <c r="L604" t="s">
        <v>4275</v>
      </c>
      <c r="M604" s="3" t="s">
        <v>4278</v>
      </c>
      <c r="N604">
        <v>104.16</v>
      </c>
    </row>
    <row r="605" spans="1:14" x14ac:dyDescent="0.35">
      <c r="A605" t="s">
        <v>617</v>
      </c>
      <c r="B605" t="s">
        <v>4733</v>
      </c>
      <c r="C605" t="s">
        <v>1816</v>
      </c>
      <c r="D605" s="3" t="s">
        <v>2405</v>
      </c>
      <c r="E605">
        <v>1</v>
      </c>
      <c r="F605">
        <v>657.07</v>
      </c>
      <c r="G605" t="s">
        <v>2837</v>
      </c>
      <c r="H605" s="3" t="s">
        <v>3069</v>
      </c>
      <c r="I605" s="3" t="s">
        <v>3074</v>
      </c>
      <c r="J605" t="s">
        <v>3678</v>
      </c>
      <c r="K605">
        <v>4</v>
      </c>
      <c r="L605" t="s">
        <v>4275</v>
      </c>
      <c r="M605" s="3" t="s">
        <v>4282</v>
      </c>
      <c r="N605">
        <v>657.07</v>
      </c>
    </row>
    <row r="606" spans="1:14" x14ac:dyDescent="0.35">
      <c r="A606" t="s">
        <v>618</v>
      </c>
      <c r="B606" t="s">
        <v>4734</v>
      </c>
      <c r="C606" t="s">
        <v>1817</v>
      </c>
      <c r="D606" s="3" t="s">
        <v>2406</v>
      </c>
      <c r="E606">
        <v>3</v>
      </c>
      <c r="F606">
        <v>32.619999999999997</v>
      </c>
      <c r="G606" t="s">
        <v>2661</v>
      </c>
      <c r="H606" s="3" t="s">
        <v>3065</v>
      </c>
      <c r="I606" s="3" t="s">
        <v>3073</v>
      </c>
      <c r="J606" t="s">
        <v>3679</v>
      </c>
      <c r="K606">
        <v>6</v>
      </c>
      <c r="L606" t="s">
        <v>4292</v>
      </c>
      <c r="M606" s="3" t="s">
        <v>4281</v>
      </c>
      <c r="N606">
        <v>97.86</v>
      </c>
    </row>
    <row r="607" spans="1:14" x14ac:dyDescent="0.35">
      <c r="A607" t="s">
        <v>619</v>
      </c>
      <c r="B607" t="s">
        <v>4735</v>
      </c>
      <c r="C607" t="s">
        <v>1818</v>
      </c>
      <c r="D607" s="3" t="s">
        <v>2403</v>
      </c>
      <c r="E607">
        <v>2</v>
      </c>
      <c r="F607">
        <v>228.91</v>
      </c>
      <c r="G607" t="s">
        <v>2838</v>
      </c>
      <c r="H607" s="3" t="s">
        <v>3065</v>
      </c>
      <c r="I607" s="3" t="s">
        <v>3070</v>
      </c>
      <c r="J607" t="s">
        <v>3680</v>
      </c>
      <c r="K607">
        <v>4</v>
      </c>
      <c r="L607" t="s">
        <v>4275</v>
      </c>
      <c r="M607" s="3" t="s">
        <v>4279</v>
      </c>
      <c r="N607">
        <v>457.82</v>
      </c>
    </row>
    <row r="608" spans="1:14" x14ac:dyDescent="0.35">
      <c r="A608" t="s">
        <v>620</v>
      </c>
      <c r="B608" t="s">
        <v>4403</v>
      </c>
      <c r="C608" t="s">
        <v>1819</v>
      </c>
      <c r="D608" s="3" t="s">
        <v>2408</v>
      </c>
      <c r="E608">
        <v>3</v>
      </c>
      <c r="F608">
        <v>274.75</v>
      </c>
      <c r="G608" t="s">
        <v>2614</v>
      </c>
      <c r="H608" s="3" t="s">
        <v>3069</v>
      </c>
      <c r="I608" s="3" t="s">
        <v>3071</v>
      </c>
      <c r="J608" t="s">
        <v>3681</v>
      </c>
      <c r="K608">
        <v>3</v>
      </c>
      <c r="L608" t="s">
        <v>4275</v>
      </c>
      <c r="M608" s="3" t="s">
        <v>4282</v>
      </c>
      <c r="N608">
        <v>824.25</v>
      </c>
    </row>
    <row r="609" spans="1:14" x14ac:dyDescent="0.35">
      <c r="A609" t="s">
        <v>621</v>
      </c>
      <c r="B609" t="s">
        <v>4417</v>
      </c>
      <c r="C609" t="s">
        <v>1820</v>
      </c>
      <c r="D609" s="3" t="s">
        <v>2407</v>
      </c>
      <c r="E609">
        <v>4</v>
      </c>
      <c r="F609">
        <v>634.04999999999995</v>
      </c>
      <c r="G609" t="s">
        <v>2839</v>
      </c>
      <c r="H609" s="3" t="s">
        <v>3069</v>
      </c>
      <c r="I609" s="3" t="s">
        <v>3070</v>
      </c>
      <c r="J609" t="s">
        <v>3682</v>
      </c>
      <c r="K609">
        <v>6</v>
      </c>
      <c r="L609" t="s">
        <v>4275</v>
      </c>
      <c r="M609" s="3" t="s">
        <v>4282</v>
      </c>
      <c r="N609">
        <v>2536.1999999999998</v>
      </c>
    </row>
    <row r="610" spans="1:14" x14ac:dyDescent="0.35">
      <c r="A610" t="s">
        <v>622</v>
      </c>
      <c r="B610" t="s">
        <v>4309</v>
      </c>
      <c r="C610" t="s">
        <v>1821</v>
      </c>
      <c r="D610" s="3" t="s">
        <v>2408</v>
      </c>
      <c r="E610">
        <v>5</v>
      </c>
      <c r="F610">
        <v>543.16</v>
      </c>
      <c r="G610" t="s">
        <v>2840</v>
      </c>
      <c r="H610" s="3" t="s">
        <v>3066</v>
      </c>
      <c r="I610" s="3" t="s">
        <v>3071</v>
      </c>
      <c r="J610" t="s">
        <v>3683</v>
      </c>
      <c r="K610">
        <v>6</v>
      </c>
      <c r="L610" t="s">
        <v>4275</v>
      </c>
      <c r="M610" s="3" t="s">
        <v>4278</v>
      </c>
      <c r="N610">
        <v>2715.8</v>
      </c>
    </row>
    <row r="611" spans="1:14" x14ac:dyDescent="0.35">
      <c r="A611" t="s">
        <v>623</v>
      </c>
      <c r="B611" t="s">
        <v>4393</v>
      </c>
      <c r="C611" t="s">
        <v>1822</v>
      </c>
      <c r="D611" s="3" t="s">
        <v>2406</v>
      </c>
      <c r="E611">
        <v>3</v>
      </c>
      <c r="F611">
        <v>449.13</v>
      </c>
      <c r="G611" t="s">
        <v>2841</v>
      </c>
      <c r="H611" s="3" t="s">
        <v>3069</v>
      </c>
      <c r="I611" s="3" t="s">
        <v>3072</v>
      </c>
      <c r="J611" t="s">
        <v>3684</v>
      </c>
      <c r="K611">
        <v>5</v>
      </c>
      <c r="L611" t="s">
        <v>4277</v>
      </c>
      <c r="M611" s="3" t="s">
        <v>4279</v>
      </c>
      <c r="N611">
        <v>1347.39</v>
      </c>
    </row>
    <row r="612" spans="1:14" x14ac:dyDescent="0.35">
      <c r="A612" t="s">
        <v>624</v>
      </c>
      <c r="B612" t="s">
        <v>4736</v>
      </c>
      <c r="C612" t="s">
        <v>1823</v>
      </c>
      <c r="D612" s="3" t="s">
        <v>2409</v>
      </c>
      <c r="E612">
        <v>5</v>
      </c>
      <c r="F612">
        <v>389.62</v>
      </c>
      <c r="G612" t="s">
        <v>2460</v>
      </c>
      <c r="H612" s="3" t="s">
        <v>3069</v>
      </c>
      <c r="I612" s="3" t="s">
        <v>3072</v>
      </c>
      <c r="J612" t="s">
        <v>3685</v>
      </c>
      <c r="K612">
        <v>7</v>
      </c>
      <c r="L612" t="s">
        <v>4276</v>
      </c>
      <c r="M612" s="3" t="s">
        <v>4281</v>
      </c>
      <c r="N612">
        <v>1948.1</v>
      </c>
    </row>
    <row r="613" spans="1:14" x14ac:dyDescent="0.35">
      <c r="A613" t="s">
        <v>625</v>
      </c>
      <c r="B613" t="s">
        <v>4737</v>
      </c>
      <c r="C613" t="s">
        <v>1824</v>
      </c>
      <c r="D613" s="3" t="s">
        <v>2409</v>
      </c>
      <c r="E613">
        <v>1</v>
      </c>
      <c r="F613">
        <v>305.17</v>
      </c>
      <c r="G613" t="s">
        <v>2835</v>
      </c>
      <c r="H613" s="3" t="s">
        <v>3068</v>
      </c>
      <c r="I613" s="3" t="s">
        <v>3072</v>
      </c>
      <c r="J613" t="s">
        <v>3686</v>
      </c>
      <c r="K613">
        <v>3</v>
      </c>
      <c r="L613" t="s">
        <v>4277</v>
      </c>
      <c r="M613" s="3" t="s">
        <v>4279</v>
      </c>
      <c r="N613">
        <v>305.17</v>
      </c>
    </row>
    <row r="614" spans="1:14" x14ac:dyDescent="0.35">
      <c r="A614" t="s">
        <v>626</v>
      </c>
      <c r="B614" t="s">
        <v>4738</v>
      </c>
      <c r="C614" t="s">
        <v>1825</v>
      </c>
      <c r="D614" s="3" t="s">
        <v>2406</v>
      </c>
      <c r="E614">
        <v>3</v>
      </c>
      <c r="F614">
        <v>445.12</v>
      </c>
      <c r="G614" t="s">
        <v>2678</v>
      </c>
      <c r="H614" s="3" t="s">
        <v>3068</v>
      </c>
      <c r="I614" s="3" t="s">
        <v>3071</v>
      </c>
      <c r="J614" t="s">
        <v>3687</v>
      </c>
      <c r="K614">
        <v>8</v>
      </c>
      <c r="L614" t="s">
        <v>4292</v>
      </c>
      <c r="M614" s="3" t="s">
        <v>4282</v>
      </c>
      <c r="N614">
        <v>1335.36</v>
      </c>
    </row>
    <row r="615" spans="1:14" x14ac:dyDescent="0.35">
      <c r="A615" t="s">
        <v>627</v>
      </c>
      <c r="B615" t="s">
        <v>4320</v>
      </c>
      <c r="C615" t="s">
        <v>1826</v>
      </c>
      <c r="D615" s="3" t="s">
        <v>2408</v>
      </c>
      <c r="E615">
        <v>2</v>
      </c>
      <c r="F615">
        <v>230.36</v>
      </c>
      <c r="G615" t="s">
        <v>2842</v>
      </c>
      <c r="H615" s="3" t="s">
        <v>3066</v>
      </c>
      <c r="I615" s="3" t="s">
        <v>3072</v>
      </c>
      <c r="J615" t="s">
        <v>3688</v>
      </c>
      <c r="K615">
        <v>4</v>
      </c>
      <c r="L615" t="s">
        <v>4277</v>
      </c>
      <c r="M615" s="3" t="s">
        <v>4280</v>
      </c>
      <c r="N615">
        <v>460.72</v>
      </c>
    </row>
    <row r="616" spans="1:14" x14ac:dyDescent="0.35">
      <c r="A616" t="s">
        <v>628</v>
      </c>
      <c r="B616" t="s">
        <v>4739</v>
      </c>
      <c r="C616" t="s">
        <v>1827</v>
      </c>
      <c r="D616" s="3" t="s">
        <v>2404</v>
      </c>
      <c r="E616">
        <v>1</v>
      </c>
      <c r="F616">
        <v>96.81</v>
      </c>
      <c r="G616" t="s">
        <v>2521</v>
      </c>
      <c r="H616" s="3" t="s">
        <v>3068</v>
      </c>
      <c r="I616" s="3" t="s">
        <v>3071</v>
      </c>
      <c r="J616" t="s">
        <v>3689</v>
      </c>
      <c r="K616">
        <v>3</v>
      </c>
      <c r="L616" t="s">
        <v>4292</v>
      </c>
      <c r="M616" s="3" t="s">
        <v>4279</v>
      </c>
      <c r="N616">
        <v>96.81</v>
      </c>
    </row>
    <row r="617" spans="1:14" x14ac:dyDescent="0.35">
      <c r="A617" t="s">
        <v>629</v>
      </c>
      <c r="B617" t="s">
        <v>4740</v>
      </c>
      <c r="C617" t="s">
        <v>1828</v>
      </c>
      <c r="D617" s="3" t="s">
        <v>2403</v>
      </c>
      <c r="E617">
        <v>5</v>
      </c>
      <c r="F617">
        <v>460.14</v>
      </c>
      <c r="G617" t="s">
        <v>2661</v>
      </c>
      <c r="H617" s="3" t="s">
        <v>3067</v>
      </c>
      <c r="I617" s="3" t="s">
        <v>3072</v>
      </c>
      <c r="J617" t="s">
        <v>3690</v>
      </c>
      <c r="K617">
        <v>10</v>
      </c>
      <c r="L617" t="s">
        <v>4277</v>
      </c>
      <c r="M617" s="3" t="s">
        <v>4281</v>
      </c>
      <c r="N617">
        <v>2300.6999999999998</v>
      </c>
    </row>
    <row r="618" spans="1:14" x14ac:dyDescent="0.35">
      <c r="A618" t="s">
        <v>630</v>
      </c>
      <c r="B618" t="s">
        <v>4741</v>
      </c>
      <c r="C618" t="s">
        <v>1829</v>
      </c>
      <c r="D618" s="3" t="s">
        <v>2405</v>
      </c>
      <c r="E618">
        <v>3</v>
      </c>
      <c r="F618">
        <v>601.6</v>
      </c>
      <c r="G618" t="s">
        <v>2843</v>
      </c>
      <c r="H618" s="3" t="s">
        <v>3067</v>
      </c>
      <c r="I618" s="3" t="s">
        <v>3071</v>
      </c>
      <c r="J618" t="s">
        <v>3691</v>
      </c>
      <c r="K618">
        <v>7</v>
      </c>
      <c r="L618" t="s">
        <v>4275</v>
      </c>
      <c r="M618" s="3" t="s">
        <v>4281</v>
      </c>
      <c r="N618">
        <v>1804.8</v>
      </c>
    </row>
    <row r="619" spans="1:14" x14ac:dyDescent="0.35">
      <c r="A619" t="s">
        <v>631</v>
      </c>
      <c r="B619" t="s">
        <v>4742</v>
      </c>
      <c r="C619" t="s">
        <v>1830</v>
      </c>
      <c r="D619" s="3" t="s">
        <v>2405</v>
      </c>
      <c r="E619">
        <v>3</v>
      </c>
      <c r="F619">
        <v>184.47</v>
      </c>
      <c r="G619" t="s">
        <v>2844</v>
      </c>
      <c r="H619" s="3" t="s">
        <v>3066</v>
      </c>
      <c r="I619" s="3" t="s">
        <v>3071</v>
      </c>
      <c r="J619" t="s">
        <v>3692</v>
      </c>
      <c r="K619">
        <v>4</v>
      </c>
      <c r="L619" t="s">
        <v>4292</v>
      </c>
      <c r="M619" s="3" t="s">
        <v>4279</v>
      </c>
      <c r="N619">
        <v>553.41</v>
      </c>
    </row>
    <row r="620" spans="1:14" x14ac:dyDescent="0.35">
      <c r="A620" t="s">
        <v>632</v>
      </c>
      <c r="B620" t="s">
        <v>4743</v>
      </c>
      <c r="C620" t="s">
        <v>1831</v>
      </c>
      <c r="D620" s="3" t="s">
        <v>2405</v>
      </c>
      <c r="E620">
        <v>1</v>
      </c>
      <c r="F620">
        <v>411.34</v>
      </c>
      <c r="G620" t="s">
        <v>2845</v>
      </c>
      <c r="H620" s="3" t="s">
        <v>3065</v>
      </c>
      <c r="I620" s="3" t="s">
        <v>3072</v>
      </c>
      <c r="J620" t="s">
        <v>3693</v>
      </c>
      <c r="K620">
        <v>5</v>
      </c>
      <c r="L620" t="s">
        <v>4292</v>
      </c>
      <c r="M620" s="3" t="s">
        <v>4278</v>
      </c>
      <c r="N620">
        <v>411.34</v>
      </c>
    </row>
    <row r="621" spans="1:14" x14ac:dyDescent="0.35">
      <c r="A621" t="s">
        <v>633</v>
      </c>
      <c r="B621" t="s">
        <v>4708</v>
      </c>
      <c r="C621" t="s">
        <v>1832</v>
      </c>
      <c r="D621" s="3" t="s">
        <v>2408</v>
      </c>
      <c r="E621">
        <v>1</v>
      </c>
      <c r="F621">
        <v>532.89</v>
      </c>
      <c r="G621" t="s">
        <v>2783</v>
      </c>
      <c r="H621" s="3" t="s">
        <v>3068</v>
      </c>
      <c r="I621" s="3" t="s">
        <v>3074</v>
      </c>
      <c r="J621" t="s">
        <v>3694</v>
      </c>
      <c r="K621">
        <v>2</v>
      </c>
      <c r="L621" t="s">
        <v>4292</v>
      </c>
      <c r="M621" s="3" t="s">
        <v>4279</v>
      </c>
      <c r="N621">
        <v>532.89</v>
      </c>
    </row>
    <row r="622" spans="1:14" x14ac:dyDescent="0.35">
      <c r="A622" t="s">
        <v>634</v>
      </c>
      <c r="B622" t="s">
        <v>4744</v>
      </c>
      <c r="C622" t="s">
        <v>1833</v>
      </c>
      <c r="D622" s="3" t="s">
        <v>2405</v>
      </c>
      <c r="E622">
        <v>3</v>
      </c>
      <c r="F622">
        <v>136.34</v>
      </c>
      <c r="G622" t="s">
        <v>2846</v>
      </c>
      <c r="H622" s="3" t="s">
        <v>3065</v>
      </c>
      <c r="I622" s="3" t="s">
        <v>3072</v>
      </c>
      <c r="J622" t="s">
        <v>3695</v>
      </c>
      <c r="K622">
        <v>8</v>
      </c>
      <c r="L622" t="s">
        <v>4275</v>
      </c>
      <c r="M622" s="3" t="s">
        <v>4279</v>
      </c>
      <c r="N622">
        <v>409.02</v>
      </c>
    </row>
    <row r="623" spans="1:14" x14ac:dyDescent="0.35">
      <c r="A623" t="s">
        <v>635</v>
      </c>
      <c r="B623" t="s">
        <v>4640</v>
      </c>
      <c r="C623" t="s">
        <v>1834</v>
      </c>
      <c r="D623" s="3" t="s">
        <v>2404</v>
      </c>
      <c r="E623">
        <v>5</v>
      </c>
      <c r="F623">
        <v>476.01</v>
      </c>
      <c r="G623" t="s">
        <v>2482</v>
      </c>
      <c r="H623" s="3" t="s">
        <v>3067</v>
      </c>
      <c r="I623" s="3" t="s">
        <v>3073</v>
      </c>
      <c r="J623" t="s">
        <v>3696</v>
      </c>
      <c r="K623">
        <v>7</v>
      </c>
      <c r="L623" t="s">
        <v>4277</v>
      </c>
      <c r="M623" s="3" t="s">
        <v>4282</v>
      </c>
      <c r="N623">
        <v>2380.0500000000002</v>
      </c>
    </row>
    <row r="624" spans="1:14" x14ac:dyDescent="0.35">
      <c r="A624" t="s">
        <v>636</v>
      </c>
      <c r="B624" t="s">
        <v>4745</v>
      </c>
      <c r="C624" t="s">
        <v>1835</v>
      </c>
      <c r="D624" s="3" t="s">
        <v>2409</v>
      </c>
      <c r="E624">
        <v>5</v>
      </c>
      <c r="F624">
        <v>236.38</v>
      </c>
      <c r="G624" t="s">
        <v>2445</v>
      </c>
      <c r="H624" s="3" t="s">
        <v>3067</v>
      </c>
      <c r="I624" s="3" t="s">
        <v>3072</v>
      </c>
      <c r="J624" t="s">
        <v>3697</v>
      </c>
      <c r="K624">
        <v>7</v>
      </c>
      <c r="L624" t="s">
        <v>4292</v>
      </c>
      <c r="M624" s="3" t="s">
        <v>4281</v>
      </c>
      <c r="N624">
        <v>1181.9000000000001</v>
      </c>
    </row>
    <row r="625" spans="1:14" x14ac:dyDescent="0.35">
      <c r="A625" t="s">
        <v>637</v>
      </c>
      <c r="B625" t="s">
        <v>4663</v>
      </c>
      <c r="C625" t="s">
        <v>1836</v>
      </c>
      <c r="D625" s="3" t="s">
        <v>2407</v>
      </c>
      <c r="E625">
        <v>3</v>
      </c>
      <c r="F625">
        <v>396</v>
      </c>
      <c r="G625" t="s">
        <v>2847</v>
      </c>
      <c r="H625" s="3" t="s">
        <v>3068</v>
      </c>
      <c r="I625" s="3" t="s">
        <v>3071</v>
      </c>
      <c r="J625" t="s">
        <v>3698</v>
      </c>
      <c r="K625">
        <v>4</v>
      </c>
      <c r="L625" t="s">
        <v>4276</v>
      </c>
      <c r="M625" s="3" t="s">
        <v>4278</v>
      </c>
      <c r="N625">
        <v>1188</v>
      </c>
    </row>
    <row r="626" spans="1:14" x14ac:dyDescent="0.35">
      <c r="A626" t="s">
        <v>638</v>
      </c>
      <c r="B626" t="s">
        <v>4746</v>
      </c>
      <c r="C626" t="s">
        <v>1837</v>
      </c>
      <c r="D626" s="3" t="s">
        <v>2405</v>
      </c>
      <c r="E626">
        <v>5</v>
      </c>
      <c r="F626">
        <v>341.96</v>
      </c>
      <c r="G626" t="s">
        <v>2710</v>
      </c>
      <c r="H626" s="3" t="s">
        <v>3065</v>
      </c>
      <c r="I626" s="3" t="s">
        <v>3073</v>
      </c>
      <c r="J626" t="s">
        <v>3699</v>
      </c>
      <c r="K626">
        <v>6</v>
      </c>
      <c r="L626" t="s">
        <v>4292</v>
      </c>
      <c r="M626" s="3" t="s">
        <v>4280</v>
      </c>
      <c r="N626">
        <v>1709.8</v>
      </c>
    </row>
    <row r="627" spans="1:14" x14ac:dyDescent="0.35">
      <c r="A627" t="s">
        <v>639</v>
      </c>
      <c r="B627" t="s">
        <v>4747</v>
      </c>
      <c r="C627" t="s">
        <v>1838</v>
      </c>
      <c r="D627" s="3" t="s">
        <v>2405</v>
      </c>
      <c r="E627">
        <v>1</v>
      </c>
      <c r="F627">
        <v>672.89</v>
      </c>
      <c r="G627" t="s">
        <v>2848</v>
      </c>
      <c r="H627" s="3" t="s">
        <v>3067</v>
      </c>
      <c r="I627" s="3" t="s">
        <v>3074</v>
      </c>
      <c r="J627" t="s">
        <v>3700</v>
      </c>
      <c r="K627">
        <v>1</v>
      </c>
      <c r="L627" t="s">
        <v>4277</v>
      </c>
      <c r="M627" s="3" t="s">
        <v>4280</v>
      </c>
      <c r="N627">
        <v>672.89</v>
      </c>
    </row>
    <row r="628" spans="1:14" x14ac:dyDescent="0.35">
      <c r="A628" t="s">
        <v>640</v>
      </c>
      <c r="B628" t="s">
        <v>4701</v>
      </c>
      <c r="C628" t="s">
        <v>1839</v>
      </c>
      <c r="D628" s="3" t="s">
        <v>2405</v>
      </c>
      <c r="E628">
        <v>2</v>
      </c>
      <c r="F628">
        <v>657.48</v>
      </c>
      <c r="G628" t="s">
        <v>2745</v>
      </c>
      <c r="H628" s="3" t="s">
        <v>3066</v>
      </c>
      <c r="I628" s="3" t="s">
        <v>3070</v>
      </c>
      <c r="J628" t="s">
        <v>3701</v>
      </c>
      <c r="K628">
        <v>5</v>
      </c>
      <c r="L628" t="s">
        <v>4275</v>
      </c>
      <c r="M628" s="3" t="s">
        <v>4279</v>
      </c>
      <c r="N628">
        <v>1314.96</v>
      </c>
    </row>
    <row r="629" spans="1:14" x14ac:dyDescent="0.35">
      <c r="A629" t="s">
        <v>641</v>
      </c>
      <c r="B629" t="s">
        <v>4748</v>
      </c>
      <c r="C629" t="s">
        <v>1840</v>
      </c>
      <c r="D629" s="3" t="s">
        <v>2406</v>
      </c>
      <c r="E629">
        <v>3</v>
      </c>
      <c r="F629">
        <v>498.68</v>
      </c>
      <c r="G629" t="s">
        <v>2812</v>
      </c>
      <c r="H629" s="3" t="s">
        <v>3066</v>
      </c>
      <c r="I629" s="3" t="s">
        <v>3072</v>
      </c>
      <c r="J629" t="s">
        <v>3702</v>
      </c>
      <c r="K629">
        <v>4</v>
      </c>
      <c r="L629" t="s">
        <v>4276</v>
      </c>
      <c r="M629" s="3" t="s">
        <v>4280</v>
      </c>
      <c r="N629">
        <v>1496.04</v>
      </c>
    </row>
    <row r="630" spans="1:14" x14ac:dyDescent="0.35">
      <c r="A630" t="s">
        <v>642</v>
      </c>
      <c r="B630" t="s">
        <v>4749</v>
      </c>
      <c r="C630" t="s">
        <v>1841</v>
      </c>
      <c r="D630" s="3" t="s">
        <v>2407</v>
      </c>
      <c r="E630">
        <v>5</v>
      </c>
      <c r="F630">
        <v>558.63</v>
      </c>
      <c r="G630" t="s">
        <v>2849</v>
      </c>
      <c r="H630" s="3" t="s">
        <v>3069</v>
      </c>
      <c r="I630" s="3" t="s">
        <v>3074</v>
      </c>
      <c r="J630" t="s">
        <v>3703</v>
      </c>
      <c r="K630">
        <v>8</v>
      </c>
      <c r="L630" t="s">
        <v>4276</v>
      </c>
      <c r="M630" s="3" t="s">
        <v>4279</v>
      </c>
      <c r="N630">
        <v>2793.15</v>
      </c>
    </row>
    <row r="631" spans="1:14" x14ac:dyDescent="0.35">
      <c r="A631" t="s">
        <v>643</v>
      </c>
      <c r="B631" t="s">
        <v>4750</v>
      </c>
      <c r="C631" t="s">
        <v>1842</v>
      </c>
      <c r="D631" s="3" t="s">
        <v>2404</v>
      </c>
      <c r="E631">
        <v>3</v>
      </c>
      <c r="F631">
        <v>19.73</v>
      </c>
      <c r="G631" t="s">
        <v>2850</v>
      </c>
      <c r="H631" s="3" t="s">
        <v>3066</v>
      </c>
      <c r="I631" s="3" t="s">
        <v>3074</v>
      </c>
      <c r="J631" t="s">
        <v>3704</v>
      </c>
      <c r="K631">
        <v>3</v>
      </c>
      <c r="L631" t="s">
        <v>4292</v>
      </c>
      <c r="M631" s="3" t="s">
        <v>4279</v>
      </c>
      <c r="N631">
        <v>59.19</v>
      </c>
    </row>
    <row r="632" spans="1:14" x14ac:dyDescent="0.35">
      <c r="A632" t="s">
        <v>644</v>
      </c>
      <c r="B632" t="s">
        <v>4751</v>
      </c>
      <c r="C632" t="s">
        <v>1843</v>
      </c>
      <c r="D632" s="3" t="s">
        <v>2403</v>
      </c>
      <c r="E632">
        <v>5</v>
      </c>
      <c r="F632">
        <v>248.84</v>
      </c>
      <c r="G632" t="s">
        <v>2851</v>
      </c>
      <c r="H632" s="3" t="s">
        <v>3065</v>
      </c>
      <c r="I632" s="3" t="s">
        <v>3071</v>
      </c>
      <c r="J632" t="s">
        <v>3705</v>
      </c>
      <c r="K632">
        <v>10</v>
      </c>
      <c r="L632" t="s">
        <v>4292</v>
      </c>
      <c r="M632" s="3" t="s">
        <v>4278</v>
      </c>
      <c r="N632">
        <v>1244.2</v>
      </c>
    </row>
    <row r="633" spans="1:14" x14ac:dyDescent="0.35">
      <c r="A633" t="s">
        <v>645</v>
      </c>
      <c r="B633" t="s">
        <v>4453</v>
      </c>
      <c r="C633" t="s">
        <v>1844</v>
      </c>
      <c r="D633" s="3" t="s">
        <v>2406</v>
      </c>
      <c r="E633">
        <v>3</v>
      </c>
      <c r="F633">
        <v>46.11</v>
      </c>
      <c r="G633" t="s">
        <v>2645</v>
      </c>
      <c r="H633" s="3" t="s">
        <v>3068</v>
      </c>
      <c r="I633" s="3" t="s">
        <v>3072</v>
      </c>
      <c r="J633" t="s">
        <v>3706</v>
      </c>
      <c r="K633">
        <v>5</v>
      </c>
      <c r="L633" t="s">
        <v>4277</v>
      </c>
      <c r="M633" s="3" t="s">
        <v>4279</v>
      </c>
      <c r="N633">
        <v>138.33000000000001</v>
      </c>
    </row>
    <row r="634" spans="1:14" x14ac:dyDescent="0.35">
      <c r="A634" t="s">
        <v>646</v>
      </c>
      <c r="B634" t="s">
        <v>4752</v>
      </c>
      <c r="C634" t="s">
        <v>1845</v>
      </c>
      <c r="D634" s="3" t="s">
        <v>2408</v>
      </c>
      <c r="E634">
        <v>5</v>
      </c>
      <c r="F634">
        <v>678.16</v>
      </c>
      <c r="G634" t="s">
        <v>2629</v>
      </c>
      <c r="H634" s="3" t="s">
        <v>3068</v>
      </c>
      <c r="I634" s="3" t="s">
        <v>3073</v>
      </c>
      <c r="J634" t="s">
        <v>3707</v>
      </c>
      <c r="K634">
        <v>7</v>
      </c>
      <c r="L634" t="s">
        <v>4277</v>
      </c>
      <c r="M634" s="3" t="s">
        <v>4281</v>
      </c>
      <c r="N634">
        <v>3390.8</v>
      </c>
    </row>
    <row r="635" spans="1:14" x14ac:dyDescent="0.35">
      <c r="A635" t="s">
        <v>647</v>
      </c>
      <c r="B635" t="s">
        <v>4578</v>
      </c>
      <c r="C635" t="s">
        <v>1846</v>
      </c>
      <c r="D635" s="3" t="s">
        <v>2408</v>
      </c>
      <c r="E635">
        <v>5</v>
      </c>
      <c r="F635">
        <v>601.72</v>
      </c>
      <c r="G635" t="s">
        <v>2728</v>
      </c>
      <c r="H635" s="3" t="s">
        <v>3068</v>
      </c>
      <c r="I635" s="3" t="s">
        <v>3071</v>
      </c>
      <c r="J635" t="s">
        <v>3708</v>
      </c>
      <c r="K635">
        <v>5</v>
      </c>
      <c r="L635" t="s">
        <v>4277</v>
      </c>
      <c r="M635" s="3" t="s">
        <v>4278</v>
      </c>
      <c r="N635">
        <v>3008.6</v>
      </c>
    </row>
    <row r="636" spans="1:14" x14ac:dyDescent="0.35">
      <c r="A636" t="s">
        <v>648</v>
      </c>
      <c r="B636" t="s">
        <v>4597</v>
      </c>
      <c r="C636" t="s">
        <v>1847</v>
      </c>
      <c r="D636" s="3" t="s">
        <v>2407</v>
      </c>
      <c r="E636">
        <v>2</v>
      </c>
      <c r="F636">
        <v>259.32</v>
      </c>
      <c r="G636" t="s">
        <v>2852</v>
      </c>
      <c r="H636" s="3" t="s">
        <v>3068</v>
      </c>
      <c r="I636" s="3" t="s">
        <v>3073</v>
      </c>
      <c r="J636" t="s">
        <v>3709</v>
      </c>
      <c r="K636">
        <v>2</v>
      </c>
      <c r="L636" t="s">
        <v>4277</v>
      </c>
      <c r="M636" s="3" t="s">
        <v>4279</v>
      </c>
      <c r="N636">
        <v>518.64</v>
      </c>
    </row>
    <row r="637" spans="1:14" x14ac:dyDescent="0.35">
      <c r="A637" t="s">
        <v>649</v>
      </c>
      <c r="B637" t="s">
        <v>4425</v>
      </c>
      <c r="C637" t="s">
        <v>1848</v>
      </c>
      <c r="D637" s="3" t="s">
        <v>2406</v>
      </c>
      <c r="E637">
        <v>3</v>
      </c>
      <c r="F637">
        <v>63.68</v>
      </c>
      <c r="G637" t="s">
        <v>2458</v>
      </c>
      <c r="H637" s="3" t="s">
        <v>3069</v>
      </c>
      <c r="I637" s="3" t="s">
        <v>3072</v>
      </c>
      <c r="J637" t="s">
        <v>3710</v>
      </c>
      <c r="K637">
        <v>6</v>
      </c>
      <c r="L637" t="s">
        <v>4292</v>
      </c>
      <c r="M637" s="3" t="s">
        <v>4281</v>
      </c>
      <c r="N637">
        <v>191.04</v>
      </c>
    </row>
    <row r="638" spans="1:14" x14ac:dyDescent="0.35">
      <c r="A638" t="s">
        <v>650</v>
      </c>
      <c r="B638" t="s">
        <v>4753</v>
      </c>
      <c r="C638" t="s">
        <v>1849</v>
      </c>
      <c r="D638" s="3" t="s">
        <v>2408</v>
      </c>
      <c r="E638">
        <v>4</v>
      </c>
      <c r="F638">
        <v>371.07</v>
      </c>
      <c r="G638" t="s">
        <v>2564</v>
      </c>
      <c r="H638" s="3" t="s">
        <v>3069</v>
      </c>
      <c r="I638" s="3" t="s">
        <v>3071</v>
      </c>
      <c r="J638" t="s">
        <v>3711</v>
      </c>
      <c r="K638">
        <v>7</v>
      </c>
      <c r="L638" t="s">
        <v>4277</v>
      </c>
      <c r="M638" s="3" t="s">
        <v>4281</v>
      </c>
      <c r="N638">
        <v>1484.28</v>
      </c>
    </row>
    <row r="639" spans="1:14" x14ac:dyDescent="0.35">
      <c r="A639" t="s">
        <v>651</v>
      </c>
      <c r="B639" t="s">
        <v>4754</v>
      </c>
      <c r="C639" t="s">
        <v>1850</v>
      </c>
      <c r="D639" s="3" t="s">
        <v>2406</v>
      </c>
      <c r="E639">
        <v>4</v>
      </c>
      <c r="F639">
        <v>306.35000000000002</v>
      </c>
      <c r="G639" t="s">
        <v>2853</v>
      </c>
      <c r="H639" s="3" t="s">
        <v>3068</v>
      </c>
      <c r="I639" s="3" t="s">
        <v>3070</v>
      </c>
      <c r="J639" t="s">
        <v>3712</v>
      </c>
      <c r="K639">
        <v>7</v>
      </c>
      <c r="L639" t="s">
        <v>4277</v>
      </c>
      <c r="M639" s="3" t="s">
        <v>4279</v>
      </c>
      <c r="N639">
        <v>1225.4000000000001</v>
      </c>
    </row>
    <row r="640" spans="1:14" x14ac:dyDescent="0.35">
      <c r="A640" t="s">
        <v>652</v>
      </c>
      <c r="B640" t="s">
        <v>4286</v>
      </c>
      <c r="C640" t="s">
        <v>1851</v>
      </c>
      <c r="D640" s="3" t="s">
        <v>2405</v>
      </c>
      <c r="E640">
        <v>4</v>
      </c>
      <c r="F640">
        <v>578.27</v>
      </c>
      <c r="G640" t="s">
        <v>2854</v>
      </c>
      <c r="H640" s="3" t="s">
        <v>3066</v>
      </c>
      <c r="I640" s="3" t="s">
        <v>3073</v>
      </c>
      <c r="J640" t="s">
        <v>3713</v>
      </c>
      <c r="K640">
        <v>9</v>
      </c>
      <c r="L640" t="s">
        <v>4277</v>
      </c>
      <c r="M640" s="3" t="s">
        <v>4280</v>
      </c>
      <c r="N640">
        <v>2313.08</v>
      </c>
    </row>
    <row r="641" spans="1:14" x14ac:dyDescent="0.35">
      <c r="A641" t="s">
        <v>653</v>
      </c>
      <c r="B641" t="s">
        <v>4609</v>
      </c>
      <c r="C641" t="s">
        <v>1852</v>
      </c>
      <c r="D641" s="3" t="s">
        <v>2406</v>
      </c>
      <c r="E641">
        <v>1</v>
      </c>
      <c r="F641">
        <v>529.19000000000005</v>
      </c>
      <c r="G641" t="s">
        <v>2772</v>
      </c>
      <c r="H641" s="3" t="s">
        <v>3069</v>
      </c>
      <c r="I641" s="3" t="s">
        <v>3071</v>
      </c>
      <c r="J641" t="s">
        <v>3714</v>
      </c>
      <c r="K641">
        <v>5</v>
      </c>
      <c r="L641" t="s">
        <v>4292</v>
      </c>
      <c r="M641" s="3" t="s">
        <v>4279</v>
      </c>
      <c r="N641">
        <v>529.19000000000005</v>
      </c>
    </row>
    <row r="642" spans="1:14" x14ac:dyDescent="0.35">
      <c r="A642" t="s">
        <v>654</v>
      </c>
      <c r="B642" t="s">
        <v>4285</v>
      </c>
      <c r="C642" t="s">
        <v>1853</v>
      </c>
      <c r="D642" s="3" t="s">
        <v>2406</v>
      </c>
      <c r="E642">
        <v>2</v>
      </c>
      <c r="F642">
        <v>587.49</v>
      </c>
      <c r="G642" t="s">
        <v>2507</v>
      </c>
      <c r="H642" s="3" t="s">
        <v>3068</v>
      </c>
      <c r="I642" s="3" t="s">
        <v>3072</v>
      </c>
      <c r="J642" t="s">
        <v>3715</v>
      </c>
      <c r="K642">
        <v>6</v>
      </c>
      <c r="L642" t="s">
        <v>4275</v>
      </c>
      <c r="M642" s="3" t="s">
        <v>4279</v>
      </c>
      <c r="N642">
        <v>1174.98</v>
      </c>
    </row>
    <row r="643" spans="1:14" x14ac:dyDescent="0.35">
      <c r="A643" t="s">
        <v>655</v>
      </c>
      <c r="B643" t="s">
        <v>4755</v>
      </c>
      <c r="C643" t="s">
        <v>1854</v>
      </c>
      <c r="D643" s="3" t="s">
        <v>2407</v>
      </c>
      <c r="E643">
        <v>4</v>
      </c>
      <c r="F643">
        <v>567.57000000000005</v>
      </c>
      <c r="G643" t="s">
        <v>2627</v>
      </c>
      <c r="H643" s="3" t="s">
        <v>3065</v>
      </c>
      <c r="I643" s="3" t="s">
        <v>3074</v>
      </c>
      <c r="J643" t="s">
        <v>3716</v>
      </c>
      <c r="K643">
        <v>9</v>
      </c>
      <c r="L643" t="s">
        <v>4277</v>
      </c>
      <c r="M643" s="3" t="s">
        <v>4282</v>
      </c>
      <c r="N643">
        <v>2270.2800000000002</v>
      </c>
    </row>
    <row r="644" spans="1:14" x14ac:dyDescent="0.35">
      <c r="A644" t="s">
        <v>656</v>
      </c>
      <c r="B644" t="s">
        <v>4756</v>
      </c>
      <c r="C644" t="s">
        <v>1855</v>
      </c>
      <c r="D644" s="3" t="s">
        <v>2406</v>
      </c>
      <c r="E644">
        <v>5</v>
      </c>
      <c r="F644">
        <v>85.22</v>
      </c>
      <c r="G644" t="s">
        <v>2855</v>
      </c>
      <c r="H644" s="3" t="s">
        <v>3067</v>
      </c>
      <c r="I644" s="3" t="s">
        <v>3071</v>
      </c>
      <c r="J644" t="s">
        <v>3717</v>
      </c>
      <c r="K644">
        <v>7</v>
      </c>
      <c r="L644" t="s">
        <v>4276</v>
      </c>
      <c r="M644" s="3" t="s">
        <v>4280</v>
      </c>
      <c r="N644">
        <v>426.1</v>
      </c>
    </row>
    <row r="645" spans="1:14" x14ac:dyDescent="0.35">
      <c r="A645" t="s">
        <v>657</v>
      </c>
      <c r="B645" t="s">
        <v>4644</v>
      </c>
      <c r="C645" t="s">
        <v>1856</v>
      </c>
      <c r="D645" s="3" t="s">
        <v>2408</v>
      </c>
      <c r="E645">
        <v>1</v>
      </c>
      <c r="F645">
        <v>438.37</v>
      </c>
      <c r="G645" t="s">
        <v>2507</v>
      </c>
      <c r="H645" s="3" t="s">
        <v>3069</v>
      </c>
      <c r="I645" s="3" t="s">
        <v>3071</v>
      </c>
      <c r="J645" t="s">
        <v>3718</v>
      </c>
      <c r="K645">
        <v>4</v>
      </c>
      <c r="L645" t="s">
        <v>4275</v>
      </c>
      <c r="M645" s="3" t="s">
        <v>4279</v>
      </c>
      <c r="N645">
        <v>438.37</v>
      </c>
    </row>
    <row r="646" spans="1:14" x14ac:dyDescent="0.35">
      <c r="A646" t="s">
        <v>658</v>
      </c>
      <c r="B646" t="s">
        <v>4659</v>
      </c>
      <c r="C646" t="s">
        <v>1857</v>
      </c>
      <c r="D646" s="3" t="s">
        <v>2406</v>
      </c>
      <c r="E646">
        <v>2</v>
      </c>
      <c r="F646">
        <v>366.23</v>
      </c>
      <c r="G646" t="s">
        <v>2856</v>
      </c>
      <c r="H646" s="3" t="s">
        <v>3069</v>
      </c>
      <c r="I646" s="3" t="s">
        <v>3070</v>
      </c>
      <c r="J646" t="s">
        <v>3719</v>
      </c>
      <c r="K646">
        <v>2</v>
      </c>
      <c r="L646" t="s">
        <v>4277</v>
      </c>
      <c r="M646" s="3" t="s">
        <v>4280</v>
      </c>
      <c r="N646">
        <v>732.46</v>
      </c>
    </row>
    <row r="647" spans="1:14" x14ac:dyDescent="0.35">
      <c r="A647" t="s">
        <v>659</v>
      </c>
      <c r="B647" t="s">
        <v>4599</v>
      </c>
      <c r="C647" t="s">
        <v>1858</v>
      </c>
      <c r="D647" s="3" t="s">
        <v>2408</v>
      </c>
      <c r="E647">
        <v>2</v>
      </c>
      <c r="F647">
        <v>150.05000000000001</v>
      </c>
      <c r="G647" t="s">
        <v>2525</v>
      </c>
      <c r="H647" s="3" t="s">
        <v>3067</v>
      </c>
      <c r="I647" s="3" t="s">
        <v>3071</v>
      </c>
      <c r="J647" t="s">
        <v>3720</v>
      </c>
      <c r="K647">
        <v>4</v>
      </c>
      <c r="L647" t="s">
        <v>4275</v>
      </c>
      <c r="M647" s="3" t="s">
        <v>4281</v>
      </c>
      <c r="N647">
        <v>300.10000000000002</v>
      </c>
    </row>
    <row r="648" spans="1:14" x14ac:dyDescent="0.35">
      <c r="A648" t="s">
        <v>660</v>
      </c>
      <c r="B648" t="s">
        <v>4406</v>
      </c>
      <c r="C648" t="s">
        <v>1859</v>
      </c>
      <c r="D648" s="3" t="s">
        <v>2406</v>
      </c>
      <c r="E648">
        <v>4</v>
      </c>
      <c r="F648">
        <v>498.51</v>
      </c>
      <c r="G648" t="s">
        <v>2857</v>
      </c>
      <c r="H648" s="3" t="s">
        <v>3065</v>
      </c>
      <c r="I648" s="3" t="s">
        <v>3070</v>
      </c>
      <c r="J648" t="s">
        <v>3721</v>
      </c>
      <c r="K648">
        <v>4</v>
      </c>
      <c r="L648" t="s">
        <v>4275</v>
      </c>
      <c r="M648" s="3" t="s">
        <v>4282</v>
      </c>
      <c r="N648">
        <v>1994.04</v>
      </c>
    </row>
    <row r="649" spans="1:14" x14ac:dyDescent="0.35">
      <c r="A649" t="s">
        <v>661</v>
      </c>
      <c r="B649" t="s">
        <v>4757</v>
      </c>
      <c r="C649" t="s">
        <v>1860</v>
      </c>
      <c r="D649" s="3" t="s">
        <v>2409</v>
      </c>
      <c r="E649">
        <v>3</v>
      </c>
      <c r="F649">
        <v>339.39</v>
      </c>
      <c r="G649" t="s">
        <v>2558</v>
      </c>
      <c r="H649" s="3" t="s">
        <v>3069</v>
      </c>
      <c r="I649" s="3" t="s">
        <v>3072</v>
      </c>
      <c r="J649" t="s">
        <v>3722</v>
      </c>
      <c r="K649">
        <v>7</v>
      </c>
      <c r="L649" t="s">
        <v>4276</v>
      </c>
      <c r="M649" s="3" t="s">
        <v>4282</v>
      </c>
      <c r="N649">
        <v>1018.17</v>
      </c>
    </row>
    <row r="650" spans="1:14" x14ac:dyDescent="0.35">
      <c r="A650" t="s">
        <v>662</v>
      </c>
      <c r="B650" t="s">
        <v>4758</v>
      </c>
      <c r="C650" t="s">
        <v>1861</v>
      </c>
      <c r="D650" s="3" t="s">
        <v>2403</v>
      </c>
      <c r="E650">
        <v>2</v>
      </c>
      <c r="F650">
        <v>575.83000000000004</v>
      </c>
      <c r="G650" t="s">
        <v>2858</v>
      </c>
      <c r="H650" s="3" t="s">
        <v>3066</v>
      </c>
      <c r="I650" s="3" t="s">
        <v>3073</v>
      </c>
      <c r="J650" t="s">
        <v>3723</v>
      </c>
      <c r="K650">
        <v>3</v>
      </c>
      <c r="L650" t="s">
        <v>4277</v>
      </c>
      <c r="M650" s="3" t="s">
        <v>4279</v>
      </c>
      <c r="N650">
        <v>1151.6600000000001</v>
      </c>
    </row>
    <row r="651" spans="1:14" x14ac:dyDescent="0.35">
      <c r="A651" t="s">
        <v>663</v>
      </c>
      <c r="B651" t="s">
        <v>4759</v>
      </c>
      <c r="C651" t="s">
        <v>1862</v>
      </c>
      <c r="D651" s="3" t="s">
        <v>2403</v>
      </c>
      <c r="E651">
        <v>2</v>
      </c>
      <c r="F651">
        <v>642.98</v>
      </c>
      <c r="G651" t="s">
        <v>2632</v>
      </c>
      <c r="H651" s="3" t="s">
        <v>3065</v>
      </c>
      <c r="I651" s="3" t="s">
        <v>3072</v>
      </c>
      <c r="J651" t="s">
        <v>3724</v>
      </c>
      <c r="K651">
        <v>7</v>
      </c>
      <c r="L651" t="s">
        <v>4276</v>
      </c>
      <c r="M651" s="3" t="s">
        <v>4280</v>
      </c>
      <c r="N651">
        <v>1285.96</v>
      </c>
    </row>
    <row r="652" spans="1:14" x14ac:dyDescent="0.35">
      <c r="A652" t="s">
        <v>664</v>
      </c>
      <c r="B652" t="s">
        <v>4703</v>
      </c>
      <c r="C652" t="s">
        <v>1863</v>
      </c>
      <c r="D652" s="3" t="s">
        <v>2409</v>
      </c>
      <c r="E652">
        <v>2</v>
      </c>
      <c r="F652">
        <v>372.23</v>
      </c>
      <c r="G652" t="s">
        <v>2859</v>
      </c>
      <c r="H652" s="3" t="s">
        <v>3068</v>
      </c>
      <c r="I652" s="3" t="s">
        <v>3073</v>
      </c>
      <c r="J652" t="s">
        <v>3725</v>
      </c>
      <c r="K652">
        <v>7</v>
      </c>
      <c r="L652" t="s">
        <v>4275</v>
      </c>
      <c r="M652" s="3" t="s">
        <v>4280</v>
      </c>
      <c r="N652">
        <v>744.46</v>
      </c>
    </row>
    <row r="653" spans="1:14" x14ac:dyDescent="0.35">
      <c r="A653" t="s">
        <v>665</v>
      </c>
      <c r="B653" t="s">
        <v>4760</v>
      </c>
      <c r="C653" t="s">
        <v>1864</v>
      </c>
      <c r="D653" s="3" t="s">
        <v>2406</v>
      </c>
      <c r="E653">
        <v>3</v>
      </c>
      <c r="F653">
        <v>646.34</v>
      </c>
      <c r="G653" t="s">
        <v>2584</v>
      </c>
      <c r="H653" s="3" t="s">
        <v>3065</v>
      </c>
      <c r="I653" s="3" t="s">
        <v>3074</v>
      </c>
      <c r="J653" t="s">
        <v>3726</v>
      </c>
      <c r="K653">
        <v>5</v>
      </c>
      <c r="L653" t="s">
        <v>4292</v>
      </c>
      <c r="M653" s="3" t="s">
        <v>4282</v>
      </c>
      <c r="N653">
        <v>1939.02</v>
      </c>
    </row>
    <row r="654" spans="1:14" x14ac:dyDescent="0.35">
      <c r="A654" t="s">
        <v>666</v>
      </c>
      <c r="B654" t="s">
        <v>4761</v>
      </c>
      <c r="C654" t="s">
        <v>1865</v>
      </c>
      <c r="D654" s="3" t="s">
        <v>2406</v>
      </c>
      <c r="E654">
        <v>5</v>
      </c>
      <c r="F654">
        <v>341.84</v>
      </c>
      <c r="G654" t="s">
        <v>2860</v>
      </c>
      <c r="H654" s="3" t="s">
        <v>3066</v>
      </c>
      <c r="I654" s="3" t="s">
        <v>3070</v>
      </c>
      <c r="J654" t="s">
        <v>3727</v>
      </c>
      <c r="K654">
        <v>8</v>
      </c>
      <c r="L654" t="s">
        <v>4276</v>
      </c>
      <c r="M654" s="3" t="s">
        <v>4278</v>
      </c>
      <c r="N654">
        <v>1709.2</v>
      </c>
    </row>
    <row r="655" spans="1:14" x14ac:dyDescent="0.35">
      <c r="A655" t="s">
        <v>667</v>
      </c>
      <c r="B655" t="s">
        <v>4686</v>
      </c>
      <c r="C655" t="s">
        <v>1866</v>
      </c>
      <c r="D655" s="3" t="s">
        <v>2407</v>
      </c>
      <c r="E655">
        <v>3</v>
      </c>
      <c r="F655">
        <v>690.3</v>
      </c>
      <c r="G655" t="s">
        <v>2710</v>
      </c>
      <c r="H655" s="3" t="s">
        <v>3067</v>
      </c>
      <c r="I655" s="3" t="s">
        <v>3070</v>
      </c>
      <c r="J655" t="s">
        <v>3728</v>
      </c>
      <c r="K655">
        <v>6</v>
      </c>
      <c r="L655" t="s">
        <v>4277</v>
      </c>
      <c r="M655" s="3" t="s">
        <v>4282</v>
      </c>
      <c r="N655">
        <v>2070.9</v>
      </c>
    </row>
    <row r="656" spans="1:14" x14ac:dyDescent="0.35">
      <c r="A656" t="s">
        <v>668</v>
      </c>
      <c r="B656" t="s">
        <v>4723</v>
      </c>
      <c r="C656" t="s">
        <v>1867</v>
      </c>
      <c r="D656" s="3" t="s">
        <v>2405</v>
      </c>
      <c r="E656">
        <v>3</v>
      </c>
      <c r="F656">
        <v>382.37</v>
      </c>
      <c r="G656" t="s">
        <v>2861</v>
      </c>
      <c r="H656" s="3" t="s">
        <v>3065</v>
      </c>
      <c r="I656" s="3" t="s">
        <v>3072</v>
      </c>
      <c r="J656" t="s">
        <v>3729</v>
      </c>
      <c r="K656">
        <v>8</v>
      </c>
      <c r="L656" t="s">
        <v>4292</v>
      </c>
      <c r="M656" s="3" t="s">
        <v>4278</v>
      </c>
      <c r="N656">
        <v>1147.1099999999999</v>
      </c>
    </row>
    <row r="657" spans="1:14" x14ac:dyDescent="0.35">
      <c r="A657" t="s">
        <v>669</v>
      </c>
      <c r="B657" t="s">
        <v>4653</v>
      </c>
      <c r="C657" t="s">
        <v>1868</v>
      </c>
      <c r="D657" s="3" t="s">
        <v>2406</v>
      </c>
      <c r="E657">
        <v>2</v>
      </c>
      <c r="F657">
        <v>132.6</v>
      </c>
      <c r="G657" t="s">
        <v>2758</v>
      </c>
      <c r="H657" s="3" t="s">
        <v>3065</v>
      </c>
      <c r="I657" s="3" t="s">
        <v>3071</v>
      </c>
      <c r="J657" t="s">
        <v>3730</v>
      </c>
      <c r="K657">
        <v>4</v>
      </c>
      <c r="L657" t="s">
        <v>4277</v>
      </c>
      <c r="M657" s="3" t="s">
        <v>4280</v>
      </c>
      <c r="N657">
        <v>265.2</v>
      </c>
    </row>
    <row r="658" spans="1:14" x14ac:dyDescent="0.35">
      <c r="A658" t="s">
        <v>670</v>
      </c>
      <c r="B658" t="s">
        <v>4627</v>
      </c>
      <c r="C658" t="s">
        <v>1869</v>
      </c>
      <c r="D658" s="3" t="s">
        <v>2403</v>
      </c>
      <c r="E658">
        <v>2</v>
      </c>
      <c r="F658">
        <v>189.06</v>
      </c>
      <c r="G658" t="s">
        <v>2862</v>
      </c>
      <c r="H658" s="3" t="s">
        <v>3068</v>
      </c>
      <c r="I658" s="3" t="s">
        <v>3070</v>
      </c>
      <c r="J658" t="s">
        <v>3731</v>
      </c>
      <c r="K658">
        <v>7</v>
      </c>
      <c r="L658" t="s">
        <v>4275</v>
      </c>
      <c r="M658" s="3" t="s">
        <v>4281</v>
      </c>
      <c r="N658">
        <v>378.12</v>
      </c>
    </row>
    <row r="659" spans="1:14" x14ac:dyDescent="0.35">
      <c r="A659" t="s">
        <v>671</v>
      </c>
      <c r="B659" t="s">
        <v>4762</v>
      </c>
      <c r="C659" t="s">
        <v>1870</v>
      </c>
      <c r="D659" s="3" t="s">
        <v>2405</v>
      </c>
      <c r="E659">
        <v>4</v>
      </c>
      <c r="F659">
        <v>87.79</v>
      </c>
      <c r="G659" t="s">
        <v>2685</v>
      </c>
      <c r="H659" s="3" t="s">
        <v>3069</v>
      </c>
      <c r="I659" s="3" t="s">
        <v>3071</v>
      </c>
      <c r="J659" t="s">
        <v>3732</v>
      </c>
      <c r="K659">
        <v>6</v>
      </c>
      <c r="L659" t="s">
        <v>4276</v>
      </c>
      <c r="M659" s="3" t="s">
        <v>4278</v>
      </c>
      <c r="N659">
        <v>351.16</v>
      </c>
    </row>
    <row r="660" spans="1:14" x14ac:dyDescent="0.35">
      <c r="A660" t="s">
        <v>672</v>
      </c>
      <c r="B660" t="s">
        <v>4763</v>
      </c>
      <c r="C660" t="s">
        <v>1871</v>
      </c>
      <c r="D660" s="3" t="s">
        <v>2407</v>
      </c>
      <c r="E660">
        <v>2</v>
      </c>
      <c r="F660">
        <v>46.36</v>
      </c>
      <c r="G660" t="s">
        <v>2657</v>
      </c>
      <c r="H660" s="3" t="s">
        <v>3068</v>
      </c>
      <c r="I660" s="3" t="s">
        <v>3072</v>
      </c>
      <c r="J660" t="s">
        <v>3733</v>
      </c>
      <c r="K660">
        <v>4</v>
      </c>
      <c r="L660" t="s">
        <v>4275</v>
      </c>
      <c r="M660" s="3" t="s">
        <v>4282</v>
      </c>
      <c r="N660">
        <v>92.72</v>
      </c>
    </row>
    <row r="661" spans="1:14" x14ac:dyDescent="0.35">
      <c r="A661" t="s">
        <v>673</v>
      </c>
      <c r="B661" t="s">
        <v>4764</v>
      </c>
      <c r="C661" t="s">
        <v>1872</v>
      </c>
      <c r="D661" s="3" t="s">
        <v>2404</v>
      </c>
      <c r="E661">
        <v>2</v>
      </c>
      <c r="F661">
        <v>642.04</v>
      </c>
      <c r="G661" t="s">
        <v>2813</v>
      </c>
      <c r="H661" s="3" t="s">
        <v>3068</v>
      </c>
      <c r="I661" s="3" t="s">
        <v>3073</v>
      </c>
      <c r="J661" t="s">
        <v>3734</v>
      </c>
      <c r="K661">
        <v>4</v>
      </c>
      <c r="L661" t="s">
        <v>4277</v>
      </c>
      <c r="M661" s="3" t="s">
        <v>4280</v>
      </c>
      <c r="N661">
        <v>1284.08</v>
      </c>
    </row>
    <row r="662" spans="1:14" x14ac:dyDescent="0.35">
      <c r="A662" t="s">
        <v>674</v>
      </c>
      <c r="B662" t="s">
        <v>4765</v>
      </c>
      <c r="C662" t="s">
        <v>1873</v>
      </c>
      <c r="D662" s="3" t="s">
        <v>2406</v>
      </c>
      <c r="E662">
        <v>2</v>
      </c>
      <c r="F662">
        <v>651.57000000000005</v>
      </c>
      <c r="G662" t="s">
        <v>2543</v>
      </c>
      <c r="H662" s="3" t="s">
        <v>3065</v>
      </c>
      <c r="I662" s="3" t="s">
        <v>3070</v>
      </c>
      <c r="J662" t="s">
        <v>3735</v>
      </c>
      <c r="K662">
        <v>7</v>
      </c>
      <c r="L662" t="s">
        <v>4277</v>
      </c>
      <c r="M662" s="3" t="s">
        <v>4281</v>
      </c>
      <c r="N662">
        <v>1303.1400000000001</v>
      </c>
    </row>
    <row r="663" spans="1:14" x14ac:dyDescent="0.35">
      <c r="A663" t="s">
        <v>675</v>
      </c>
      <c r="B663" t="s">
        <v>4536</v>
      </c>
      <c r="C663" t="s">
        <v>1874</v>
      </c>
      <c r="D663" s="3" t="s">
        <v>2405</v>
      </c>
      <c r="E663">
        <v>3</v>
      </c>
      <c r="F663">
        <v>424.89</v>
      </c>
      <c r="G663" t="s">
        <v>2863</v>
      </c>
      <c r="H663" s="3" t="s">
        <v>3065</v>
      </c>
      <c r="I663" s="3" t="s">
        <v>3071</v>
      </c>
      <c r="J663" t="s">
        <v>3736</v>
      </c>
      <c r="K663">
        <v>6</v>
      </c>
      <c r="L663" t="s">
        <v>4276</v>
      </c>
      <c r="M663" s="3" t="s">
        <v>4282</v>
      </c>
      <c r="N663">
        <v>1274.67</v>
      </c>
    </row>
    <row r="664" spans="1:14" x14ac:dyDescent="0.35">
      <c r="A664" t="s">
        <v>676</v>
      </c>
      <c r="B664" t="s">
        <v>4707</v>
      </c>
      <c r="C664" t="s">
        <v>1875</v>
      </c>
      <c r="D664" s="3" t="s">
        <v>2408</v>
      </c>
      <c r="E664">
        <v>3</v>
      </c>
      <c r="F664">
        <v>438.89</v>
      </c>
      <c r="G664" t="s">
        <v>2864</v>
      </c>
      <c r="H664" s="3" t="s">
        <v>3069</v>
      </c>
      <c r="I664" s="3" t="s">
        <v>3072</v>
      </c>
      <c r="J664" t="s">
        <v>3737</v>
      </c>
      <c r="K664">
        <v>3</v>
      </c>
      <c r="L664" t="s">
        <v>4292</v>
      </c>
      <c r="M664" s="3" t="s">
        <v>4281</v>
      </c>
      <c r="N664">
        <v>1316.67</v>
      </c>
    </row>
    <row r="665" spans="1:14" x14ac:dyDescent="0.35">
      <c r="A665" t="s">
        <v>677</v>
      </c>
      <c r="B665" t="s">
        <v>4400</v>
      </c>
      <c r="C665" t="s">
        <v>1876</v>
      </c>
      <c r="D665" s="3" t="s">
        <v>2403</v>
      </c>
      <c r="E665">
        <v>1</v>
      </c>
      <c r="F665">
        <v>72.599999999999994</v>
      </c>
      <c r="G665" t="s">
        <v>2800</v>
      </c>
      <c r="H665" s="3" t="s">
        <v>3065</v>
      </c>
      <c r="I665" s="3" t="s">
        <v>3071</v>
      </c>
      <c r="J665" t="s">
        <v>3738</v>
      </c>
      <c r="K665">
        <v>6</v>
      </c>
      <c r="L665" t="s">
        <v>4276</v>
      </c>
      <c r="M665" s="3" t="s">
        <v>4278</v>
      </c>
      <c r="N665">
        <v>72.599999999999994</v>
      </c>
    </row>
    <row r="666" spans="1:14" x14ac:dyDescent="0.35">
      <c r="A666" t="s">
        <v>678</v>
      </c>
      <c r="B666" t="s">
        <v>4320</v>
      </c>
      <c r="C666" t="s">
        <v>1450</v>
      </c>
      <c r="D666" s="3" t="s">
        <v>2408</v>
      </c>
      <c r="E666">
        <v>4</v>
      </c>
      <c r="F666">
        <v>194.75</v>
      </c>
      <c r="G666" t="s">
        <v>2865</v>
      </c>
      <c r="H666" s="3" t="s">
        <v>3069</v>
      </c>
      <c r="I666" s="3" t="s">
        <v>3070</v>
      </c>
      <c r="J666" t="s">
        <v>3739</v>
      </c>
      <c r="K666">
        <v>5</v>
      </c>
      <c r="L666" t="s">
        <v>4292</v>
      </c>
      <c r="M666" s="3" t="s">
        <v>4281</v>
      </c>
      <c r="N666">
        <v>779</v>
      </c>
    </row>
    <row r="667" spans="1:14" x14ac:dyDescent="0.35">
      <c r="A667" t="s">
        <v>679</v>
      </c>
      <c r="B667" t="s">
        <v>4752</v>
      </c>
      <c r="C667" t="s">
        <v>1877</v>
      </c>
      <c r="D667" s="3" t="s">
        <v>2405</v>
      </c>
      <c r="E667">
        <v>4</v>
      </c>
      <c r="F667">
        <v>231.26</v>
      </c>
      <c r="G667" t="s">
        <v>2866</v>
      </c>
      <c r="H667" s="3" t="s">
        <v>3066</v>
      </c>
      <c r="I667" s="3" t="s">
        <v>3070</v>
      </c>
      <c r="J667" t="s">
        <v>3740</v>
      </c>
      <c r="K667">
        <v>6</v>
      </c>
      <c r="L667" t="s">
        <v>4277</v>
      </c>
      <c r="M667" s="3" t="s">
        <v>4282</v>
      </c>
      <c r="N667">
        <v>925.04</v>
      </c>
    </row>
    <row r="668" spans="1:14" x14ac:dyDescent="0.35">
      <c r="A668" t="s">
        <v>680</v>
      </c>
      <c r="B668" t="s">
        <v>4453</v>
      </c>
      <c r="C668" t="s">
        <v>1878</v>
      </c>
      <c r="D668" s="3" t="s">
        <v>2403</v>
      </c>
      <c r="E668">
        <v>4</v>
      </c>
      <c r="F668">
        <v>327.12</v>
      </c>
      <c r="G668" t="s">
        <v>2840</v>
      </c>
      <c r="H668" s="3" t="s">
        <v>3067</v>
      </c>
      <c r="I668" s="3" t="s">
        <v>3071</v>
      </c>
      <c r="J668" t="s">
        <v>3741</v>
      </c>
      <c r="K668">
        <v>4</v>
      </c>
      <c r="L668" t="s">
        <v>4292</v>
      </c>
      <c r="M668" s="3" t="s">
        <v>4280</v>
      </c>
      <c r="N668">
        <v>1308.48</v>
      </c>
    </row>
    <row r="669" spans="1:14" x14ac:dyDescent="0.35">
      <c r="A669" t="s">
        <v>681</v>
      </c>
      <c r="B669" t="s">
        <v>4355</v>
      </c>
      <c r="C669" t="s">
        <v>1879</v>
      </c>
      <c r="D669" s="3" t="s">
        <v>2408</v>
      </c>
      <c r="E669">
        <v>1</v>
      </c>
      <c r="F669">
        <v>466.42</v>
      </c>
      <c r="G669" t="s">
        <v>2590</v>
      </c>
      <c r="H669" s="3" t="s">
        <v>3068</v>
      </c>
      <c r="I669" s="3" t="s">
        <v>3074</v>
      </c>
      <c r="J669" t="s">
        <v>3742</v>
      </c>
      <c r="K669">
        <v>5</v>
      </c>
      <c r="L669" t="s">
        <v>4275</v>
      </c>
      <c r="M669" s="3" t="s">
        <v>4280</v>
      </c>
      <c r="N669">
        <v>466.42</v>
      </c>
    </row>
    <row r="670" spans="1:14" x14ac:dyDescent="0.35">
      <c r="A670" t="s">
        <v>682</v>
      </c>
      <c r="B670" t="s">
        <v>4766</v>
      </c>
      <c r="C670" t="s">
        <v>1880</v>
      </c>
      <c r="D670" s="3" t="s">
        <v>2403</v>
      </c>
      <c r="E670">
        <v>2</v>
      </c>
      <c r="F670">
        <v>253.67</v>
      </c>
      <c r="G670" t="s">
        <v>2549</v>
      </c>
      <c r="H670" s="3" t="s">
        <v>3069</v>
      </c>
      <c r="I670" s="3" t="s">
        <v>3072</v>
      </c>
      <c r="J670" t="s">
        <v>3743</v>
      </c>
      <c r="K670">
        <v>3</v>
      </c>
      <c r="L670" t="s">
        <v>4277</v>
      </c>
      <c r="M670" s="3" t="s">
        <v>4281</v>
      </c>
      <c r="N670">
        <v>507.34</v>
      </c>
    </row>
    <row r="671" spans="1:14" x14ac:dyDescent="0.35">
      <c r="A671" t="s">
        <v>683</v>
      </c>
      <c r="B671" t="s">
        <v>4767</v>
      </c>
      <c r="C671" t="s">
        <v>1881</v>
      </c>
      <c r="D671" s="3" t="s">
        <v>2409</v>
      </c>
      <c r="E671">
        <v>1</v>
      </c>
      <c r="F671">
        <v>257</v>
      </c>
      <c r="G671" t="s">
        <v>2867</v>
      </c>
      <c r="H671" s="3" t="s">
        <v>3065</v>
      </c>
      <c r="I671" s="3" t="s">
        <v>3071</v>
      </c>
      <c r="J671" t="s">
        <v>3744</v>
      </c>
      <c r="K671">
        <v>5</v>
      </c>
      <c r="L671" t="s">
        <v>4292</v>
      </c>
      <c r="M671" s="3" t="s">
        <v>4279</v>
      </c>
      <c r="N671">
        <v>257</v>
      </c>
    </row>
    <row r="672" spans="1:14" x14ac:dyDescent="0.35">
      <c r="A672" t="s">
        <v>684</v>
      </c>
      <c r="B672" t="s">
        <v>4455</v>
      </c>
      <c r="C672" t="s">
        <v>1882</v>
      </c>
      <c r="D672" s="3" t="s">
        <v>2409</v>
      </c>
      <c r="E672">
        <v>4</v>
      </c>
      <c r="F672">
        <v>539.20000000000005</v>
      </c>
      <c r="G672" t="s">
        <v>2710</v>
      </c>
      <c r="H672" s="3" t="s">
        <v>3067</v>
      </c>
      <c r="I672" s="3" t="s">
        <v>3074</v>
      </c>
      <c r="J672" t="s">
        <v>3745</v>
      </c>
      <c r="K672">
        <v>8</v>
      </c>
      <c r="L672" t="s">
        <v>4276</v>
      </c>
      <c r="M672" s="3" t="s">
        <v>4282</v>
      </c>
      <c r="N672">
        <v>2156.8000000000002</v>
      </c>
    </row>
    <row r="673" spans="1:14" x14ac:dyDescent="0.35">
      <c r="A673" t="s">
        <v>685</v>
      </c>
      <c r="B673" t="s">
        <v>4768</v>
      </c>
      <c r="C673" t="s">
        <v>1883</v>
      </c>
      <c r="D673" s="3" t="s">
        <v>2406</v>
      </c>
      <c r="E673">
        <v>5</v>
      </c>
      <c r="F673">
        <v>50.74</v>
      </c>
      <c r="G673" t="s">
        <v>2554</v>
      </c>
      <c r="H673" s="3" t="s">
        <v>3068</v>
      </c>
      <c r="I673" s="3" t="s">
        <v>3071</v>
      </c>
      <c r="J673" t="s">
        <v>3746</v>
      </c>
      <c r="K673">
        <v>7</v>
      </c>
      <c r="L673" t="s">
        <v>4277</v>
      </c>
      <c r="M673" s="3" t="s">
        <v>4282</v>
      </c>
      <c r="N673">
        <v>253.7</v>
      </c>
    </row>
    <row r="674" spans="1:14" x14ac:dyDescent="0.35">
      <c r="A674" t="s">
        <v>686</v>
      </c>
      <c r="B674" t="s">
        <v>4505</v>
      </c>
      <c r="C674" t="s">
        <v>1884</v>
      </c>
      <c r="D674" s="3" t="s">
        <v>2404</v>
      </c>
      <c r="E674">
        <v>2</v>
      </c>
      <c r="F674">
        <v>624.16</v>
      </c>
      <c r="G674" t="s">
        <v>2843</v>
      </c>
      <c r="H674" s="3" t="s">
        <v>3065</v>
      </c>
      <c r="I674" s="3" t="s">
        <v>3070</v>
      </c>
      <c r="J674" t="s">
        <v>3747</v>
      </c>
      <c r="K674">
        <v>2</v>
      </c>
      <c r="L674" t="s">
        <v>4275</v>
      </c>
      <c r="M674" s="3" t="s">
        <v>4278</v>
      </c>
      <c r="N674">
        <v>1248.32</v>
      </c>
    </row>
    <row r="675" spans="1:14" x14ac:dyDescent="0.35">
      <c r="A675" t="s">
        <v>687</v>
      </c>
      <c r="B675" t="s">
        <v>4769</v>
      </c>
      <c r="C675" t="s">
        <v>1885</v>
      </c>
      <c r="D675" s="3" t="s">
        <v>2405</v>
      </c>
      <c r="E675">
        <v>2</v>
      </c>
      <c r="F675">
        <v>372.92</v>
      </c>
      <c r="G675" t="s">
        <v>2512</v>
      </c>
      <c r="H675" s="3" t="s">
        <v>3067</v>
      </c>
      <c r="I675" s="3" t="s">
        <v>3073</v>
      </c>
      <c r="J675" t="s">
        <v>3748</v>
      </c>
      <c r="K675">
        <v>7</v>
      </c>
      <c r="L675" t="s">
        <v>4275</v>
      </c>
      <c r="M675" s="3" t="s">
        <v>4280</v>
      </c>
      <c r="N675">
        <v>745.84</v>
      </c>
    </row>
    <row r="676" spans="1:14" x14ac:dyDescent="0.35">
      <c r="A676" t="s">
        <v>688</v>
      </c>
      <c r="B676" t="s">
        <v>4770</v>
      </c>
      <c r="C676" t="s">
        <v>1886</v>
      </c>
      <c r="D676" s="3" t="s">
        <v>2408</v>
      </c>
      <c r="E676">
        <v>4</v>
      </c>
      <c r="F676">
        <v>358.75</v>
      </c>
      <c r="G676" t="s">
        <v>2868</v>
      </c>
      <c r="H676" s="3" t="s">
        <v>3068</v>
      </c>
      <c r="I676" s="3" t="s">
        <v>3073</v>
      </c>
      <c r="J676" t="s">
        <v>3749</v>
      </c>
      <c r="K676">
        <v>9</v>
      </c>
      <c r="L676" t="s">
        <v>4275</v>
      </c>
      <c r="M676" s="3" t="s">
        <v>4281</v>
      </c>
      <c r="N676">
        <v>1435</v>
      </c>
    </row>
    <row r="677" spans="1:14" x14ac:dyDescent="0.35">
      <c r="A677" t="s">
        <v>689</v>
      </c>
      <c r="B677" t="s">
        <v>4360</v>
      </c>
      <c r="C677" t="s">
        <v>1887</v>
      </c>
      <c r="D677" s="3" t="s">
        <v>2409</v>
      </c>
      <c r="E677">
        <v>3</v>
      </c>
      <c r="F677">
        <v>342.02</v>
      </c>
      <c r="G677" t="s">
        <v>2807</v>
      </c>
      <c r="H677" s="3" t="s">
        <v>3065</v>
      </c>
      <c r="I677" s="3" t="s">
        <v>3074</v>
      </c>
      <c r="J677" t="s">
        <v>3750</v>
      </c>
      <c r="K677">
        <v>5</v>
      </c>
      <c r="L677" t="s">
        <v>4292</v>
      </c>
      <c r="M677" s="3" t="s">
        <v>4280</v>
      </c>
      <c r="N677">
        <v>1026.06</v>
      </c>
    </row>
    <row r="678" spans="1:14" x14ac:dyDescent="0.35">
      <c r="A678" t="s">
        <v>690</v>
      </c>
      <c r="B678" t="s">
        <v>4411</v>
      </c>
      <c r="C678" t="s">
        <v>1888</v>
      </c>
      <c r="D678" s="3" t="s">
        <v>2408</v>
      </c>
      <c r="E678">
        <v>2</v>
      </c>
      <c r="F678">
        <v>422.34</v>
      </c>
      <c r="G678" t="s">
        <v>2864</v>
      </c>
      <c r="H678" s="3" t="s">
        <v>3067</v>
      </c>
      <c r="I678" s="3" t="s">
        <v>3071</v>
      </c>
      <c r="J678" t="s">
        <v>3751</v>
      </c>
      <c r="K678">
        <v>4</v>
      </c>
      <c r="L678" t="s">
        <v>4276</v>
      </c>
      <c r="M678" s="3" t="s">
        <v>4278</v>
      </c>
      <c r="N678">
        <v>844.68</v>
      </c>
    </row>
    <row r="679" spans="1:14" x14ac:dyDescent="0.35">
      <c r="A679" t="s">
        <v>691</v>
      </c>
      <c r="B679" t="s">
        <v>4771</v>
      </c>
      <c r="C679" t="s">
        <v>1889</v>
      </c>
      <c r="D679" s="3" t="s">
        <v>2405</v>
      </c>
      <c r="E679">
        <v>5</v>
      </c>
      <c r="F679">
        <v>22.07</v>
      </c>
      <c r="G679" t="s">
        <v>2422</v>
      </c>
      <c r="H679" s="3" t="s">
        <v>3066</v>
      </c>
      <c r="I679" s="3" t="s">
        <v>3071</v>
      </c>
      <c r="J679" t="s">
        <v>3752</v>
      </c>
      <c r="K679">
        <v>7</v>
      </c>
      <c r="L679" t="s">
        <v>4276</v>
      </c>
      <c r="M679" s="3" t="s">
        <v>4278</v>
      </c>
      <c r="N679">
        <v>110.35</v>
      </c>
    </row>
    <row r="680" spans="1:14" x14ac:dyDescent="0.35">
      <c r="A680" t="s">
        <v>692</v>
      </c>
      <c r="B680" t="s">
        <v>4451</v>
      </c>
      <c r="C680" t="s">
        <v>1890</v>
      </c>
      <c r="D680" s="3" t="s">
        <v>2406</v>
      </c>
      <c r="E680">
        <v>3</v>
      </c>
      <c r="F680">
        <v>163.13</v>
      </c>
      <c r="G680" t="s">
        <v>2600</v>
      </c>
      <c r="H680" s="3" t="s">
        <v>3068</v>
      </c>
      <c r="I680" s="3" t="s">
        <v>3070</v>
      </c>
      <c r="J680" t="s">
        <v>3753</v>
      </c>
      <c r="K680">
        <v>5</v>
      </c>
      <c r="L680" t="s">
        <v>4277</v>
      </c>
      <c r="M680" s="3" t="s">
        <v>4281</v>
      </c>
      <c r="N680">
        <v>489.39</v>
      </c>
    </row>
    <row r="681" spans="1:14" x14ac:dyDescent="0.35">
      <c r="A681" t="s">
        <v>693</v>
      </c>
      <c r="B681" t="s">
        <v>4772</v>
      </c>
      <c r="C681" t="s">
        <v>1891</v>
      </c>
      <c r="D681" s="3" t="s">
        <v>2405</v>
      </c>
      <c r="E681">
        <v>3</v>
      </c>
      <c r="F681">
        <v>360.66</v>
      </c>
      <c r="G681" t="s">
        <v>2733</v>
      </c>
      <c r="H681" s="3" t="s">
        <v>3066</v>
      </c>
      <c r="I681" s="3" t="s">
        <v>3072</v>
      </c>
      <c r="J681" t="s">
        <v>3754</v>
      </c>
      <c r="K681">
        <v>5</v>
      </c>
      <c r="L681" t="s">
        <v>4276</v>
      </c>
      <c r="M681" s="3" t="s">
        <v>4278</v>
      </c>
      <c r="N681">
        <v>1081.98</v>
      </c>
    </row>
    <row r="682" spans="1:14" x14ac:dyDescent="0.35">
      <c r="A682" t="s">
        <v>694</v>
      </c>
      <c r="B682" t="s">
        <v>4467</v>
      </c>
      <c r="C682" t="s">
        <v>1892</v>
      </c>
      <c r="D682" s="3" t="s">
        <v>2403</v>
      </c>
      <c r="E682">
        <v>3</v>
      </c>
      <c r="F682">
        <v>463.39</v>
      </c>
      <c r="G682" t="s">
        <v>2869</v>
      </c>
      <c r="H682" s="3" t="s">
        <v>3067</v>
      </c>
      <c r="I682" s="3" t="s">
        <v>3072</v>
      </c>
      <c r="J682" t="s">
        <v>3755</v>
      </c>
      <c r="K682">
        <v>3</v>
      </c>
      <c r="L682" t="s">
        <v>4292</v>
      </c>
      <c r="M682" s="3" t="s">
        <v>4281</v>
      </c>
      <c r="N682">
        <v>1390.17</v>
      </c>
    </row>
    <row r="683" spans="1:14" x14ac:dyDescent="0.35">
      <c r="A683" t="s">
        <v>695</v>
      </c>
      <c r="B683" t="s">
        <v>4773</v>
      </c>
      <c r="C683" t="s">
        <v>1893</v>
      </c>
      <c r="D683" s="3" t="s">
        <v>2405</v>
      </c>
      <c r="E683">
        <v>1</v>
      </c>
      <c r="F683">
        <v>155.27000000000001</v>
      </c>
      <c r="G683" t="s">
        <v>2870</v>
      </c>
      <c r="H683" s="3" t="s">
        <v>3065</v>
      </c>
      <c r="I683" s="3" t="s">
        <v>3070</v>
      </c>
      <c r="J683" t="s">
        <v>3756</v>
      </c>
      <c r="K683">
        <v>6</v>
      </c>
      <c r="L683" t="s">
        <v>4292</v>
      </c>
      <c r="M683" s="3" t="s">
        <v>4280</v>
      </c>
      <c r="N683">
        <v>155.27000000000001</v>
      </c>
    </row>
    <row r="684" spans="1:14" x14ac:dyDescent="0.35">
      <c r="A684" t="s">
        <v>696</v>
      </c>
      <c r="B684" t="s">
        <v>4647</v>
      </c>
      <c r="C684" t="s">
        <v>1894</v>
      </c>
      <c r="D684" s="3" t="s">
        <v>2403</v>
      </c>
      <c r="E684">
        <v>3</v>
      </c>
      <c r="F684">
        <v>509.42</v>
      </c>
      <c r="G684" t="s">
        <v>2777</v>
      </c>
      <c r="H684" s="3" t="s">
        <v>3067</v>
      </c>
      <c r="I684" s="3" t="s">
        <v>3071</v>
      </c>
      <c r="J684" t="s">
        <v>3757</v>
      </c>
      <c r="K684">
        <v>5</v>
      </c>
      <c r="L684" t="s">
        <v>4276</v>
      </c>
      <c r="M684" s="3" t="s">
        <v>4282</v>
      </c>
      <c r="N684">
        <v>1528.26</v>
      </c>
    </row>
    <row r="685" spans="1:14" x14ac:dyDescent="0.35">
      <c r="A685" t="s">
        <v>697</v>
      </c>
      <c r="B685" t="s">
        <v>4774</v>
      </c>
      <c r="C685" t="s">
        <v>1895</v>
      </c>
      <c r="D685" s="3" t="s">
        <v>2409</v>
      </c>
      <c r="E685">
        <v>4</v>
      </c>
      <c r="F685">
        <v>652.48</v>
      </c>
      <c r="G685" t="s">
        <v>2871</v>
      </c>
      <c r="H685" s="3" t="s">
        <v>3069</v>
      </c>
      <c r="I685" s="3" t="s">
        <v>3074</v>
      </c>
      <c r="J685" t="s">
        <v>3758</v>
      </c>
      <c r="K685">
        <v>5</v>
      </c>
      <c r="L685" t="s">
        <v>4276</v>
      </c>
      <c r="M685" s="3" t="s">
        <v>4278</v>
      </c>
      <c r="N685">
        <v>2609.92</v>
      </c>
    </row>
    <row r="686" spans="1:14" x14ac:dyDescent="0.35">
      <c r="A686" t="s">
        <v>698</v>
      </c>
      <c r="B686" t="s">
        <v>4775</v>
      </c>
      <c r="C686" t="s">
        <v>1896</v>
      </c>
      <c r="D686" s="3" t="s">
        <v>2407</v>
      </c>
      <c r="E686">
        <v>4</v>
      </c>
      <c r="F686">
        <v>34.840000000000003</v>
      </c>
      <c r="G686" t="s">
        <v>2872</v>
      </c>
      <c r="H686" s="3" t="s">
        <v>3067</v>
      </c>
      <c r="I686" s="3" t="s">
        <v>3070</v>
      </c>
      <c r="J686" t="s">
        <v>3759</v>
      </c>
      <c r="K686">
        <v>8</v>
      </c>
      <c r="L686" t="s">
        <v>4292</v>
      </c>
      <c r="M686" s="3" t="s">
        <v>4280</v>
      </c>
      <c r="N686">
        <v>139.36000000000001</v>
      </c>
    </row>
    <row r="687" spans="1:14" x14ac:dyDescent="0.35">
      <c r="A687" t="s">
        <v>699</v>
      </c>
      <c r="B687" t="s">
        <v>4776</v>
      </c>
      <c r="C687" t="s">
        <v>1897</v>
      </c>
      <c r="D687" s="3" t="s">
        <v>2409</v>
      </c>
      <c r="E687">
        <v>1</v>
      </c>
      <c r="F687">
        <v>234.37</v>
      </c>
      <c r="G687" t="s">
        <v>2873</v>
      </c>
      <c r="H687" s="3" t="s">
        <v>3065</v>
      </c>
      <c r="I687" s="3" t="s">
        <v>3070</v>
      </c>
      <c r="J687" t="s">
        <v>3760</v>
      </c>
      <c r="K687">
        <v>5</v>
      </c>
      <c r="L687" t="s">
        <v>4276</v>
      </c>
      <c r="M687" s="3" t="s">
        <v>4280</v>
      </c>
      <c r="N687">
        <v>234.37</v>
      </c>
    </row>
    <row r="688" spans="1:14" x14ac:dyDescent="0.35">
      <c r="A688" t="s">
        <v>700</v>
      </c>
      <c r="B688" t="s">
        <v>4396</v>
      </c>
      <c r="C688" t="s">
        <v>1898</v>
      </c>
      <c r="D688" s="3" t="s">
        <v>2409</v>
      </c>
      <c r="E688">
        <v>3</v>
      </c>
      <c r="F688">
        <v>53.6</v>
      </c>
      <c r="G688" t="s">
        <v>2874</v>
      </c>
      <c r="H688" s="3" t="s">
        <v>3069</v>
      </c>
      <c r="I688" s="3" t="s">
        <v>3074</v>
      </c>
      <c r="J688" t="s">
        <v>3761</v>
      </c>
      <c r="K688">
        <v>4</v>
      </c>
      <c r="L688" t="s">
        <v>4277</v>
      </c>
      <c r="M688" s="3" t="s">
        <v>4281</v>
      </c>
      <c r="N688">
        <v>160.80000000000001</v>
      </c>
    </row>
    <row r="689" spans="1:14" x14ac:dyDescent="0.35">
      <c r="A689" t="s">
        <v>701</v>
      </c>
      <c r="B689" t="s">
        <v>4777</v>
      </c>
      <c r="C689" t="s">
        <v>1899</v>
      </c>
      <c r="D689" s="3" t="s">
        <v>2405</v>
      </c>
      <c r="E689">
        <v>1</v>
      </c>
      <c r="F689">
        <v>332.09</v>
      </c>
      <c r="G689" t="s">
        <v>2875</v>
      </c>
      <c r="H689" s="3" t="s">
        <v>3068</v>
      </c>
      <c r="I689" s="3" t="s">
        <v>3072</v>
      </c>
      <c r="J689" t="s">
        <v>3762</v>
      </c>
      <c r="K689">
        <v>5</v>
      </c>
      <c r="L689" t="s">
        <v>4276</v>
      </c>
      <c r="M689" s="3" t="s">
        <v>4278</v>
      </c>
      <c r="N689">
        <v>332.09</v>
      </c>
    </row>
    <row r="690" spans="1:14" x14ac:dyDescent="0.35">
      <c r="A690" t="s">
        <v>702</v>
      </c>
      <c r="B690" t="s">
        <v>4310</v>
      </c>
      <c r="C690" t="s">
        <v>1900</v>
      </c>
      <c r="D690" s="3" t="s">
        <v>2403</v>
      </c>
      <c r="E690">
        <v>4</v>
      </c>
      <c r="F690">
        <v>593.22</v>
      </c>
      <c r="G690" t="s">
        <v>2842</v>
      </c>
      <c r="H690" s="3" t="s">
        <v>3067</v>
      </c>
      <c r="I690" s="3" t="s">
        <v>3071</v>
      </c>
      <c r="J690" t="s">
        <v>3763</v>
      </c>
      <c r="K690">
        <v>8</v>
      </c>
      <c r="L690" t="s">
        <v>4277</v>
      </c>
      <c r="M690" s="3" t="s">
        <v>4281</v>
      </c>
      <c r="N690">
        <v>2372.88</v>
      </c>
    </row>
    <row r="691" spans="1:14" x14ac:dyDescent="0.35">
      <c r="A691" t="s">
        <v>703</v>
      </c>
      <c r="B691" t="s">
        <v>4477</v>
      </c>
      <c r="C691" t="s">
        <v>1901</v>
      </c>
      <c r="D691" s="3" t="s">
        <v>2405</v>
      </c>
      <c r="E691">
        <v>2</v>
      </c>
      <c r="F691">
        <v>444.84</v>
      </c>
      <c r="G691" t="s">
        <v>2876</v>
      </c>
      <c r="H691" s="3" t="s">
        <v>3066</v>
      </c>
      <c r="I691" s="3" t="s">
        <v>3070</v>
      </c>
      <c r="J691" t="s">
        <v>3764</v>
      </c>
      <c r="K691">
        <v>7</v>
      </c>
      <c r="L691" t="s">
        <v>4292</v>
      </c>
      <c r="M691" s="3" t="s">
        <v>4281</v>
      </c>
      <c r="N691">
        <v>889.68</v>
      </c>
    </row>
    <row r="692" spans="1:14" x14ac:dyDescent="0.35">
      <c r="A692" t="s">
        <v>704</v>
      </c>
      <c r="B692" t="s">
        <v>4778</v>
      </c>
      <c r="C692" t="s">
        <v>1902</v>
      </c>
      <c r="D692" s="3" t="s">
        <v>2403</v>
      </c>
      <c r="E692">
        <v>1</v>
      </c>
      <c r="F692">
        <v>24.48</v>
      </c>
      <c r="G692" t="s">
        <v>2445</v>
      </c>
      <c r="H692" s="3" t="s">
        <v>3068</v>
      </c>
      <c r="I692" s="3" t="s">
        <v>3072</v>
      </c>
      <c r="J692" t="s">
        <v>3765</v>
      </c>
      <c r="K692">
        <v>1</v>
      </c>
      <c r="L692" t="s">
        <v>4292</v>
      </c>
      <c r="M692" s="3" t="s">
        <v>4278</v>
      </c>
      <c r="N692">
        <v>24.48</v>
      </c>
    </row>
    <row r="693" spans="1:14" x14ac:dyDescent="0.35">
      <c r="A693" t="s">
        <v>705</v>
      </c>
      <c r="B693" t="s">
        <v>4451</v>
      </c>
      <c r="C693" t="s">
        <v>1903</v>
      </c>
      <c r="D693" s="3" t="s">
        <v>2408</v>
      </c>
      <c r="E693">
        <v>3</v>
      </c>
      <c r="F693">
        <v>239.08</v>
      </c>
      <c r="G693" t="s">
        <v>2877</v>
      </c>
      <c r="H693" s="3" t="s">
        <v>3069</v>
      </c>
      <c r="I693" s="3" t="s">
        <v>3070</v>
      </c>
      <c r="J693" t="s">
        <v>3766</v>
      </c>
      <c r="K693">
        <v>8</v>
      </c>
      <c r="L693" t="s">
        <v>4292</v>
      </c>
      <c r="M693" s="3" t="s">
        <v>4282</v>
      </c>
      <c r="N693">
        <v>717.24</v>
      </c>
    </row>
    <row r="694" spans="1:14" x14ac:dyDescent="0.35">
      <c r="A694" t="s">
        <v>706</v>
      </c>
      <c r="B694" t="s">
        <v>4303</v>
      </c>
      <c r="C694" t="s">
        <v>1904</v>
      </c>
      <c r="D694" s="3" t="s">
        <v>2409</v>
      </c>
      <c r="E694">
        <v>5</v>
      </c>
      <c r="F694">
        <v>196.84</v>
      </c>
      <c r="G694" t="s">
        <v>2732</v>
      </c>
      <c r="H694" s="3" t="s">
        <v>3067</v>
      </c>
      <c r="I694" s="3" t="s">
        <v>3073</v>
      </c>
      <c r="J694" t="s">
        <v>3767</v>
      </c>
      <c r="K694">
        <v>5</v>
      </c>
      <c r="L694" t="s">
        <v>4277</v>
      </c>
      <c r="M694" s="3" t="s">
        <v>4278</v>
      </c>
      <c r="N694">
        <v>984.2</v>
      </c>
    </row>
    <row r="695" spans="1:14" x14ac:dyDescent="0.35">
      <c r="A695" t="s">
        <v>707</v>
      </c>
      <c r="B695" t="s">
        <v>4779</v>
      </c>
      <c r="C695" t="s">
        <v>1905</v>
      </c>
      <c r="D695" s="3" t="s">
        <v>2403</v>
      </c>
      <c r="E695">
        <v>1</v>
      </c>
      <c r="F695">
        <v>176.58</v>
      </c>
      <c r="G695" t="s">
        <v>2878</v>
      </c>
      <c r="H695" s="3" t="s">
        <v>3065</v>
      </c>
      <c r="I695" s="3" t="s">
        <v>3072</v>
      </c>
      <c r="J695" t="s">
        <v>3768</v>
      </c>
      <c r="K695">
        <v>4</v>
      </c>
      <c r="L695" t="s">
        <v>4292</v>
      </c>
      <c r="M695" s="3" t="s">
        <v>4279</v>
      </c>
      <c r="N695">
        <v>176.58</v>
      </c>
    </row>
    <row r="696" spans="1:14" x14ac:dyDescent="0.35">
      <c r="A696" t="s">
        <v>708</v>
      </c>
      <c r="B696" t="s">
        <v>4560</v>
      </c>
      <c r="C696" t="s">
        <v>1906</v>
      </c>
      <c r="D696" s="3" t="s">
        <v>2407</v>
      </c>
      <c r="E696">
        <v>4</v>
      </c>
      <c r="F696">
        <v>666.52</v>
      </c>
      <c r="G696" t="s">
        <v>2695</v>
      </c>
      <c r="H696" s="3" t="s">
        <v>3069</v>
      </c>
      <c r="I696" s="3" t="s">
        <v>3070</v>
      </c>
      <c r="J696" t="s">
        <v>3769</v>
      </c>
      <c r="K696">
        <v>8</v>
      </c>
      <c r="L696" t="s">
        <v>4276</v>
      </c>
      <c r="M696" s="3" t="s">
        <v>4280</v>
      </c>
      <c r="N696">
        <v>2666.08</v>
      </c>
    </row>
    <row r="697" spans="1:14" x14ac:dyDescent="0.35">
      <c r="A697" t="s">
        <v>709</v>
      </c>
      <c r="B697" t="s">
        <v>4716</v>
      </c>
      <c r="C697" t="s">
        <v>1907</v>
      </c>
      <c r="D697" s="3" t="s">
        <v>2407</v>
      </c>
      <c r="E697">
        <v>5</v>
      </c>
      <c r="F697">
        <v>101.3</v>
      </c>
      <c r="G697" t="s">
        <v>2568</v>
      </c>
      <c r="H697" s="3" t="s">
        <v>3066</v>
      </c>
      <c r="I697" s="3" t="s">
        <v>3070</v>
      </c>
      <c r="J697" t="s">
        <v>3770</v>
      </c>
      <c r="K697">
        <v>7</v>
      </c>
      <c r="L697" t="s">
        <v>4276</v>
      </c>
      <c r="M697" s="3" t="s">
        <v>4280</v>
      </c>
      <c r="N697">
        <v>506.5</v>
      </c>
    </row>
    <row r="698" spans="1:14" x14ac:dyDescent="0.35">
      <c r="A698" t="s">
        <v>710</v>
      </c>
      <c r="B698" t="s">
        <v>4510</v>
      </c>
      <c r="C698" t="s">
        <v>1908</v>
      </c>
      <c r="D698" s="3" t="s">
        <v>2406</v>
      </c>
      <c r="E698">
        <v>4</v>
      </c>
      <c r="F698">
        <v>151.19999999999999</v>
      </c>
      <c r="G698" t="s">
        <v>2879</v>
      </c>
      <c r="H698" s="3" t="s">
        <v>3068</v>
      </c>
      <c r="I698" s="3" t="s">
        <v>3074</v>
      </c>
      <c r="J698" t="s">
        <v>3771</v>
      </c>
      <c r="K698">
        <v>9</v>
      </c>
      <c r="L698" t="s">
        <v>4277</v>
      </c>
      <c r="M698" s="3" t="s">
        <v>4281</v>
      </c>
      <c r="N698">
        <v>604.79999999999995</v>
      </c>
    </row>
    <row r="699" spans="1:14" x14ac:dyDescent="0.35">
      <c r="A699" t="s">
        <v>711</v>
      </c>
      <c r="B699" t="s">
        <v>4780</v>
      </c>
      <c r="C699" t="s">
        <v>1909</v>
      </c>
      <c r="D699" s="3" t="s">
        <v>2407</v>
      </c>
      <c r="E699">
        <v>5</v>
      </c>
      <c r="F699">
        <v>94.85</v>
      </c>
      <c r="G699" t="s">
        <v>2840</v>
      </c>
      <c r="H699" s="3" t="s">
        <v>3069</v>
      </c>
      <c r="I699" s="3" t="s">
        <v>3070</v>
      </c>
      <c r="J699" t="s">
        <v>3772</v>
      </c>
      <c r="K699">
        <v>6</v>
      </c>
      <c r="L699" t="s">
        <v>4277</v>
      </c>
      <c r="M699" s="3" t="s">
        <v>4280</v>
      </c>
      <c r="N699">
        <v>474.25</v>
      </c>
    </row>
    <row r="700" spans="1:14" x14ac:dyDescent="0.35">
      <c r="A700" t="s">
        <v>712</v>
      </c>
      <c r="B700" t="s">
        <v>4283</v>
      </c>
      <c r="C700" t="s">
        <v>1910</v>
      </c>
      <c r="D700" s="3" t="s">
        <v>2408</v>
      </c>
      <c r="E700">
        <v>2</v>
      </c>
      <c r="F700">
        <v>388.22</v>
      </c>
      <c r="G700" t="s">
        <v>2792</v>
      </c>
      <c r="H700" s="3" t="s">
        <v>3069</v>
      </c>
      <c r="I700" s="3" t="s">
        <v>3073</v>
      </c>
      <c r="J700" t="s">
        <v>3773</v>
      </c>
      <c r="K700">
        <v>2</v>
      </c>
      <c r="L700" t="s">
        <v>4277</v>
      </c>
      <c r="M700" s="3" t="s">
        <v>4278</v>
      </c>
      <c r="N700">
        <v>776.44</v>
      </c>
    </row>
    <row r="701" spans="1:14" x14ac:dyDescent="0.35">
      <c r="A701" t="s">
        <v>713</v>
      </c>
      <c r="B701" t="s">
        <v>4781</v>
      </c>
      <c r="C701" t="s">
        <v>1911</v>
      </c>
      <c r="D701" s="3" t="s">
        <v>2408</v>
      </c>
      <c r="E701">
        <v>3</v>
      </c>
      <c r="F701">
        <v>614.15</v>
      </c>
      <c r="G701" t="s">
        <v>2880</v>
      </c>
      <c r="H701" s="3" t="s">
        <v>3068</v>
      </c>
      <c r="I701" s="3" t="s">
        <v>3071</v>
      </c>
      <c r="J701" t="s">
        <v>3774</v>
      </c>
      <c r="K701">
        <v>3</v>
      </c>
      <c r="L701" t="s">
        <v>4292</v>
      </c>
      <c r="M701" s="3" t="s">
        <v>4281</v>
      </c>
      <c r="N701">
        <v>1842.45</v>
      </c>
    </row>
    <row r="702" spans="1:14" x14ac:dyDescent="0.35">
      <c r="A702" t="s">
        <v>714</v>
      </c>
      <c r="B702" t="s">
        <v>4782</v>
      </c>
      <c r="C702" t="s">
        <v>1912</v>
      </c>
      <c r="D702" s="3" t="s">
        <v>2408</v>
      </c>
      <c r="E702">
        <v>2</v>
      </c>
      <c r="F702">
        <v>92.91</v>
      </c>
      <c r="G702" t="s">
        <v>2881</v>
      </c>
      <c r="H702" s="3" t="s">
        <v>3069</v>
      </c>
      <c r="I702" s="3" t="s">
        <v>3072</v>
      </c>
      <c r="J702" t="s">
        <v>3775</v>
      </c>
      <c r="K702">
        <v>3</v>
      </c>
      <c r="L702" t="s">
        <v>4277</v>
      </c>
      <c r="M702" s="3" t="s">
        <v>4278</v>
      </c>
      <c r="N702">
        <v>185.82</v>
      </c>
    </row>
    <row r="703" spans="1:14" x14ac:dyDescent="0.35">
      <c r="A703" t="s">
        <v>715</v>
      </c>
      <c r="B703" t="s">
        <v>4783</v>
      </c>
      <c r="C703" t="s">
        <v>1913</v>
      </c>
      <c r="D703" s="3" t="s">
        <v>2403</v>
      </c>
      <c r="E703">
        <v>3</v>
      </c>
      <c r="F703">
        <v>92.22</v>
      </c>
      <c r="G703" t="s">
        <v>2517</v>
      </c>
      <c r="H703" s="3" t="s">
        <v>3067</v>
      </c>
      <c r="I703" s="3" t="s">
        <v>3073</v>
      </c>
      <c r="J703" t="s">
        <v>3776</v>
      </c>
      <c r="K703">
        <v>5</v>
      </c>
      <c r="L703" t="s">
        <v>4276</v>
      </c>
      <c r="M703" s="3" t="s">
        <v>4280</v>
      </c>
      <c r="N703">
        <v>276.66000000000003</v>
      </c>
    </row>
    <row r="704" spans="1:14" x14ac:dyDescent="0.35">
      <c r="A704" t="s">
        <v>716</v>
      </c>
      <c r="B704" t="s">
        <v>4694</v>
      </c>
      <c r="C704" t="s">
        <v>1914</v>
      </c>
      <c r="D704" s="3" t="s">
        <v>2407</v>
      </c>
      <c r="E704">
        <v>3</v>
      </c>
      <c r="F704">
        <v>562.54999999999995</v>
      </c>
      <c r="G704" t="s">
        <v>2842</v>
      </c>
      <c r="H704" s="3" t="s">
        <v>3065</v>
      </c>
      <c r="I704" s="3" t="s">
        <v>3072</v>
      </c>
      <c r="J704" t="s">
        <v>3777</v>
      </c>
      <c r="K704">
        <v>6</v>
      </c>
      <c r="L704" t="s">
        <v>4292</v>
      </c>
      <c r="M704" s="3" t="s">
        <v>4280</v>
      </c>
      <c r="N704">
        <v>1687.65</v>
      </c>
    </row>
    <row r="705" spans="1:14" x14ac:dyDescent="0.35">
      <c r="A705" t="s">
        <v>717</v>
      </c>
      <c r="B705" t="s">
        <v>4784</v>
      </c>
      <c r="C705" t="s">
        <v>1915</v>
      </c>
      <c r="D705" s="3" t="s">
        <v>2409</v>
      </c>
      <c r="E705">
        <v>1</v>
      </c>
      <c r="F705">
        <v>92.79</v>
      </c>
      <c r="G705" t="s">
        <v>2882</v>
      </c>
      <c r="H705" s="3" t="s">
        <v>3069</v>
      </c>
      <c r="I705" s="3" t="s">
        <v>3074</v>
      </c>
      <c r="J705" t="s">
        <v>3778</v>
      </c>
      <c r="K705">
        <v>3</v>
      </c>
      <c r="L705" t="s">
        <v>4277</v>
      </c>
      <c r="M705" s="3" t="s">
        <v>4280</v>
      </c>
      <c r="N705">
        <v>92.79</v>
      </c>
    </row>
    <row r="706" spans="1:14" x14ac:dyDescent="0.35">
      <c r="A706" t="s">
        <v>718</v>
      </c>
      <c r="B706" t="s">
        <v>4585</v>
      </c>
      <c r="C706" t="s">
        <v>1916</v>
      </c>
      <c r="D706" s="3" t="s">
        <v>2409</v>
      </c>
      <c r="E706">
        <v>4</v>
      </c>
      <c r="F706">
        <v>30.27</v>
      </c>
      <c r="G706" t="s">
        <v>2555</v>
      </c>
      <c r="H706" s="3" t="s">
        <v>3066</v>
      </c>
      <c r="I706" s="3" t="s">
        <v>3073</v>
      </c>
      <c r="J706" t="s">
        <v>3779</v>
      </c>
      <c r="K706">
        <v>9</v>
      </c>
      <c r="L706" t="s">
        <v>4276</v>
      </c>
      <c r="M706" s="3" t="s">
        <v>4282</v>
      </c>
      <c r="N706">
        <v>121.08</v>
      </c>
    </row>
    <row r="707" spans="1:14" x14ac:dyDescent="0.35">
      <c r="A707" t="s">
        <v>719</v>
      </c>
      <c r="B707" t="s">
        <v>4785</v>
      </c>
      <c r="C707" t="s">
        <v>1917</v>
      </c>
      <c r="D707" s="3" t="s">
        <v>2403</v>
      </c>
      <c r="E707">
        <v>2</v>
      </c>
      <c r="F707">
        <v>49.08</v>
      </c>
      <c r="G707" t="s">
        <v>2883</v>
      </c>
      <c r="H707" s="3" t="s">
        <v>3065</v>
      </c>
      <c r="I707" s="3" t="s">
        <v>3072</v>
      </c>
      <c r="J707" t="s">
        <v>3780</v>
      </c>
      <c r="K707">
        <v>7</v>
      </c>
      <c r="L707" t="s">
        <v>4276</v>
      </c>
      <c r="M707" s="3" t="s">
        <v>4278</v>
      </c>
      <c r="N707">
        <v>98.16</v>
      </c>
    </row>
    <row r="708" spans="1:14" x14ac:dyDescent="0.35">
      <c r="A708" t="s">
        <v>720</v>
      </c>
      <c r="B708" t="s">
        <v>4664</v>
      </c>
      <c r="C708" t="s">
        <v>1918</v>
      </c>
      <c r="D708" s="3" t="s">
        <v>2409</v>
      </c>
      <c r="E708">
        <v>5</v>
      </c>
      <c r="F708">
        <v>228.09</v>
      </c>
      <c r="G708" t="s">
        <v>2720</v>
      </c>
      <c r="H708" s="3" t="s">
        <v>3068</v>
      </c>
      <c r="I708" s="3" t="s">
        <v>3072</v>
      </c>
      <c r="J708" t="s">
        <v>3781</v>
      </c>
      <c r="K708">
        <v>9</v>
      </c>
      <c r="L708" t="s">
        <v>4276</v>
      </c>
      <c r="M708" s="3" t="s">
        <v>4281</v>
      </c>
      <c r="N708">
        <v>1140.45</v>
      </c>
    </row>
    <row r="709" spans="1:14" x14ac:dyDescent="0.35">
      <c r="A709" t="s">
        <v>721</v>
      </c>
      <c r="B709" t="s">
        <v>4661</v>
      </c>
      <c r="C709" t="s">
        <v>1919</v>
      </c>
      <c r="D709" s="3" t="s">
        <v>2406</v>
      </c>
      <c r="E709">
        <v>4</v>
      </c>
      <c r="F709">
        <v>650.04</v>
      </c>
      <c r="G709" t="s">
        <v>2487</v>
      </c>
      <c r="H709" s="3" t="s">
        <v>3068</v>
      </c>
      <c r="I709" s="3" t="s">
        <v>3071</v>
      </c>
      <c r="J709" t="s">
        <v>3782</v>
      </c>
      <c r="K709">
        <v>6</v>
      </c>
      <c r="L709" t="s">
        <v>4275</v>
      </c>
      <c r="M709" s="3" t="s">
        <v>4281</v>
      </c>
      <c r="N709">
        <v>2600.16</v>
      </c>
    </row>
    <row r="710" spans="1:14" x14ac:dyDescent="0.35">
      <c r="A710" t="s">
        <v>722</v>
      </c>
      <c r="B710" t="s">
        <v>4439</v>
      </c>
      <c r="C710" t="s">
        <v>1920</v>
      </c>
      <c r="D710" s="3" t="s">
        <v>2407</v>
      </c>
      <c r="E710">
        <v>1</v>
      </c>
      <c r="F710">
        <v>665.11</v>
      </c>
      <c r="G710" t="s">
        <v>2840</v>
      </c>
      <c r="H710" s="3" t="s">
        <v>3069</v>
      </c>
      <c r="I710" s="3" t="s">
        <v>3074</v>
      </c>
      <c r="J710" t="s">
        <v>3783</v>
      </c>
      <c r="K710">
        <v>3</v>
      </c>
      <c r="L710" t="s">
        <v>4276</v>
      </c>
      <c r="M710" s="3" t="s">
        <v>4278</v>
      </c>
      <c r="N710">
        <v>665.11</v>
      </c>
    </row>
    <row r="711" spans="1:14" x14ac:dyDescent="0.35">
      <c r="A711" t="s">
        <v>723</v>
      </c>
      <c r="B711" t="s">
        <v>4318</v>
      </c>
      <c r="C711" t="s">
        <v>1921</v>
      </c>
      <c r="D711" s="3" t="s">
        <v>2409</v>
      </c>
      <c r="E711">
        <v>1</v>
      </c>
      <c r="F711">
        <v>386.03</v>
      </c>
      <c r="G711" t="s">
        <v>2884</v>
      </c>
      <c r="H711" s="3" t="s">
        <v>3066</v>
      </c>
      <c r="I711" s="3" t="s">
        <v>3074</v>
      </c>
      <c r="J711" t="s">
        <v>3784</v>
      </c>
      <c r="K711">
        <v>4</v>
      </c>
      <c r="L711" t="s">
        <v>4276</v>
      </c>
      <c r="M711" s="3" t="s">
        <v>4282</v>
      </c>
      <c r="N711">
        <v>386.03</v>
      </c>
    </row>
    <row r="712" spans="1:14" x14ac:dyDescent="0.35">
      <c r="A712" t="s">
        <v>724</v>
      </c>
      <c r="B712" t="s">
        <v>4603</v>
      </c>
      <c r="C712" t="s">
        <v>1922</v>
      </c>
      <c r="D712" s="3" t="s">
        <v>2408</v>
      </c>
      <c r="E712">
        <v>5</v>
      </c>
      <c r="F712">
        <v>21.54</v>
      </c>
      <c r="G712" t="s">
        <v>2885</v>
      </c>
      <c r="H712" s="3" t="s">
        <v>3068</v>
      </c>
      <c r="I712" s="3" t="s">
        <v>3072</v>
      </c>
      <c r="J712" t="s">
        <v>3785</v>
      </c>
      <c r="K712">
        <v>10</v>
      </c>
      <c r="L712" t="s">
        <v>4292</v>
      </c>
      <c r="M712" s="3" t="s">
        <v>4282</v>
      </c>
      <c r="N712">
        <v>107.7</v>
      </c>
    </row>
    <row r="713" spans="1:14" x14ac:dyDescent="0.35">
      <c r="A713" t="s">
        <v>725</v>
      </c>
      <c r="B713" t="s">
        <v>4786</v>
      </c>
      <c r="C713" t="s">
        <v>1923</v>
      </c>
      <c r="D713" s="3" t="s">
        <v>2405</v>
      </c>
      <c r="E713">
        <v>2</v>
      </c>
      <c r="F713">
        <v>475.78</v>
      </c>
      <c r="G713" t="s">
        <v>2886</v>
      </c>
      <c r="H713" s="3" t="s">
        <v>3066</v>
      </c>
      <c r="I713" s="3" t="s">
        <v>3070</v>
      </c>
      <c r="J713" t="s">
        <v>3786</v>
      </c>
      <c r="K713">
        <v>2</v>
      </c>
      <c r="L713" t="s">
        <v>4277</v>
      </c>
      <c r="M713" s="3" t="s">
        <v>4282</v>
      </c>
      <c r="N713">
        <v>951.56</v>
      </c>
    </row>
    <row r="714" spans="1:14" x14ac:dyDescent="0.35">
      <c r="A714" t="s">
        <v>726</v>
      </c>
      <c r="B714" t="s">
        <v>4770</v>
      </c>
      <c r="C714" t="s">
        <v>1771</v>
      </c>
      <c r="D714" s="3" t="s">
        <v>2405</v>
      </c>
      <c r="E714">
        <v>2</v>
      </c>
      <c r="F714">
        <v>68.400000000000006</v>
      </c>
      <c r="G714" t="s">
        <v>2887</v>
      </c>
      <c r="H714" s="3" t="s">
        <v>3068</v>
      </c>
      <c r="I714" s="3" t="s">
        <v>3074</v>
      </c>
      <c r="J714" t="s">
        <v>3787</v>
      </c>
      <c r="K714">
        <v>7</v>
      </c>
      <c r="L714" t="s">
        <v>4276</v>
      </c>
      <c r="M714" s="3" t="s">
        <v>4280</v>
      </c>
      <c r="N714">
        <v>136.80000000000001</v>
      </c>
    </row>
    <row r="715" spans="1:14" x14ac:dyDescent="0.35">
      <c r="A715" t="s">
        <v>727</v>
      </c>
      <c r="B715" t="s">
        <v>4654</v>
      </c>
      <c r="C715" t="s">
        <v>1924</v>
      </c>
      <c r="D715" s="3" t="s">
        <v>2405</v>
      </c>
      <c r="E715">
        <v>4</v>
      </c>
      <c r="F715">
        <v>532.49</v>
      </c>
      <c r="G715" t="s">
        <v>2873</v>
      </c>
      <c r="H715" s="3" t="s">
        <v>3066</v>
      </c>
      <c r="I715" s="3" t="s">
        <v>3071</v>
      </c>
      <c r="J715" t="s">
        <v>3788</v>
      </c>
      <c r="K715">
        <v>6</v>
      </c>
      <c r="L715" t="s">
        <v>4275</v>
      </c>
      <c r="M715" s="3" t="s">
        <v>4281</v>
      </c>
      <c r="N715">
        <v>2129.96</v>
      </c>
    </row>
    <row r="716" spans="1:14" x14ac:dyDescent="0.35">
      <c r="A716" t="s">
        <v>728</v>
      </c>
      <c r="B716" t="s">
        <v>4737</v>
      </c>
      <c r="C716" t="s">
        <v>1925</v>
      </c>
      <c r="D716" s="3" t="s">
        <v>2408</v>
      </c>
      <c r="E716">
        <v>1</v>
      </c>
      <c r="F716">
        <v>51.73</v>
      </c>
      <c r="G716" t="s">
        <v>2660</v>
      </c>
      <c r="H716" s="3" t="s">
        <v>3065</v>
      </c>
      <c r="I716" s="3" t="s">
        <v>3074</v>
      </c>
      <c r="J716" t="s">
        <v>3789</v>
      </c>
      <c r="K716">
        <v>1</v>
      </c>
      <c r="L716" t="s">
        <v>4276</v>
      </c>
      <c r="M716" s="3" t="s">
        <v>4281</v>
      </c>
      <c r="N716">
        <v>51.73</v>
      </c>
    </row>
    <row r="717" spans="1:14" x14ac:dyDescent="0.35">
      <c r="A717" t="s">
        <v>729</v>
      </c>
      <c r="B717" t="s">
        <v>4787</v>
      </c>
      <c r="C717" t="s">
        <v>1926</v>
      </c>
      <c r="D717" s="3" t="s">
        <v>2407</v>
      </c>
      <c r="E717">
        <v>3</v>
      </c>
      <c r="F717">
        <v>653.63</v>
      </c>
      <c r="G717" t="s">
        <v>2888</v>
      </c>
      <c r="H717" s="3" t="s">
        <v>3066</v>
      </c>
      <c r="I717" s="3" t="s">
        <v>3073</v>
      </c>
      <c r="J717" t="s">
        <v>3790</v>
      </c>
      <c r="K717">
        <v>7</v>
      </c>
      <c r="L717" t="s">
        <v>4276</v>
      </c>
      <c r="M717" s="3" t="s">
        <v>4280</v>
      </c>
      <c r="N717">
        <v>1960.89</v>
      </c>
    </row>
    <row r="718" spans="1:14" x14ac:dyDescent="0.35">
      <c r="A718" t="s">
        <v>730</v>
      </c>
      <c r="B718" t="s">
        <v>4420</v>
      </c>
      <c r="C718" t="s">
        <v>1927</v>
      </c>
      <c r="D718" s="3" t="s">
        <v>2406</v>
      </c>
      <c r="E718">
        <v>3</v>
      </c>
      <c r="F718">
        <v>454.29</v>
      </c>
      <c r="G718" t="s">
        <v>2428</v>
      </c>
      <c r="H718" s="3" t="s">
        <v>3067</v>
      </c>
      <c r="I718" s="3" t="s">
        <v>3074</v>
      </c>
      <c r="J718" t="s">
        <v>3791</v>
      </c>
      <c r="K718">
        <v>4</v>
      </c>
      <c r="L718" t="s">
        <v>4277</v>
      </c>
      <c r="M718" s="3" t="s">
        <v>4282</v>
      </c>
      <c r="N718">
        <v>1362.87</v>
      </c>
    </row>
    <row r="719" spans="1:14" x14ac:dyDescent="0.35">
      <c r="A719" t="s">
        <v>731</v>
      </c>
      <c r="B719" t="s">
        <v>4788</v>
      </c>
      <c r="C719" t="s">
        <v>1928</v>
      </c>
      <c r="D719" s="3" t="s">
        <v>2406</v>
      </c>
      <c r="E719">
        <v>3</v>
      </c>
      <c r="F719">
        <v>122.11</v>
      </c>
      <c r="G719" t="s">
        <v>2889</v>
      </c>
      <c r="H719" s="3" t="s">
        <v>3066</v>
      </c>
      <c r="I719" s="3" t="s">
        <v>3073</v>
      </c>
      <c r="J719" t="s">
        <v>3792</v>
      </c>
      <c r="K719">
        <v>4</v>
      </c>
      <c r="L719" t="s">
        <v>4277</v>
      </c>
      <c r="M719" s="3" t="s">
        <v>4280</v>
      </c>
      <c r="N719">
        <v>366.33</v>
      </c>
    </row>
    <row r="720" spans="1:14" x14ac:dyDescent="0.35">
      <c r="A720" t="s">
        <v>732</v>
      </c>
      <c r="B720" t="s">
        <v>4789</v>
      </c>
      <c r="C720" t="s">
        <v>1929</v>
      </c>
      <c r="D720" s="3" t="s">
        <v>2408</v>
      </c>
      <c r="E720">
        <v>4</v>
      </c>
      <c r="F720">
        <v>64.739999999999995</v>
      </c>
      <c r="G720" t="s">
        <v>2890</v>
      </c>
      <c r="H720" s="3" t="s">
        <v>3068</v>
      </c>
      <c r="I720" s="3" t="s">
        <v>3071</v>
      </c>
      <c r="J720" t="s">
        <v>3793</v>
      </c>
      <c r="K720">
        <v>8</v>
      </c>
      <c r="L720" t="s">
        <v>4275</v>
      </c>
      <c r="M720" s="3" t="s">
        <v>4282</v>
      </c>
      <c r="N720">
        <v>258.95999999999998</v>
      </c>
    </row>
    <row r="721" spans="1:14" x14ac:dyDescent="0.35">
      <c r="A721" t="s">
        <v>733</v>
      </c>
      <c r="B721" t="s">
        <v>4790</v>
      </c>
      <c r="C721" t="s">
        <v>1930</v>
      </c>
      <c r="D721" s="3" t="s">
        <v>2408</v>
      </c>
      <c r="E721">
        <v>2</v>
      </c>
      <c r="F721">
        <v>681.06</v>
      </c>
      <c r="G721" t="s">
        <v>2891</v>
      </c>
      <c r="H721" s="3" t="s">
        <v>3065</v>
      </c>
      <c r="I721" s="3" t="s">
        <v>3070</v>
      </c>
      <c r="J721" t="s">
        <v>3794</v>
      </c>
      <c r="K721">
        <v>3</v>
      </c>
      <c r="L721" t="s">
        <v>4276</v>
      </c>
      <c r="M721" s="3" t="s">
        <v>4281</v>
      </c>
      <c r="N721">
        <v>1362.12</v>
      </c>
    </row>
    <row r="722" spans="1:14" x14ac:dyDescent="0.35">
      <c r="A722" t="s">
        <v>734</v>
      </c>
      <c r="B722" t="s">
        <v>4791</v>
      </c>
      <c r="C722" t="s">
        <v>1931</v>
      </c>
      <c r="D722" s="3" t="s">
        <v>2409</v>
      </c>
      <c r="E722">
        <v>5</v>
      </c>
      <c r="F722">
        <v>128.94999999999999</v>
      </c>
      <c r="G722" t="s">
        <v>2892</v>
      </c>
      <c r="H722" s="3" t="s">
        <v>3069</v>
      </c>
      <c r="I722" s="3" t="s">
        <v>3074</v>
      </c>
      <c r="J722" t="s">
        <v>3795</v>
      </c>
      <c r="K722">
        <v>10</v>
      </c>
      <c r="L722" t="s">
        <v>4276</v>
      </c>
      <c r="M722" s="3" t="s">
        <v>4278</v>
      </c>
      <c r="N722">
        <v>644.75</v>
      </c>
    </row>
    <row r="723" spans="1:14" x14ac:dyDescent="0.35">
      <c r="A723" t="s">
        <v>735</v>
      </c>
      <c r="B723" t="s">
        <v>4792</v>
      </c>
      <c r="C723" t="s">
        <v>1932</v>
      </c>
      <c r="D723" s="3" t="s">
        <v>2409</v>
      </c>
      <c r="E723">
        <v>2</v>
      </c>
      <c r="F723">
        <v>118.59</v>
      </c>
      <c r="G723" t="s">
        <v>2893</v>
      </c>
      <c r="H723" s="3" t="s">
        <v>3067</v>
      </c>
      <c r="I723" s="3" t="s">
        <v>3073</v>
      </c>
      <c r="J723" t="s">
        <v>3796</v>
      </c>
      <c r="K723">
        <v>2</v>
      </c>
      <c r="L723" t="s">
        <v>4292</v>
      </c>
      <c r="M723" s="3" t="s">
        <v>4280</v>
      </c>
      <c r="N723">
        <v>237.18</v>
      </c>
    </row>
    <row r="724" spans="1:14" x14ac:dyDescent="0.35">
      <c r="A724" t="s">
        <v>736</v>
      </c>
      <c r="B724" t="s">
        <v>4348</v>
      </c>
      <c r="C724" t="s">
        <v>1933</v>
      </c>
      <c r="D724" s="3" t="s">
        <v>2407</v>
      </c>
      <c r="E724">
        <v>1</v>
      </c>
      <c r="F724">
        <v>95.1</v>
      </c>
      <c r="G724" t="s">
        <v>2654</v>
      </c>
      <c r="H724" s="3" t="s">
        <v>3068</v>
      </c>
      <c r="I724" s="3" t="s">
        <v>3074</v>
      </c>
      <c r="J724" t="s">
        <v>3797</v>
      </c>
      <c r="K724">
        <v>1</v>
      </c>
      <c r="L724" t="s">
        <v>4277</v>
      </c>
      <c r="M724" s="3" t="s">
        <v>4278</v>
      </c>
      <c r="N724">
        <v>95.1</v>
      </c>
    </row>
    <row r="725" spans="1:14" x14ac:dyDescent="0.35">
      <c r="A725" t="s">
        <v>737</v>
      </c>
      <c r="B725" t="s">
        <v>4793</v>
      </c>
      <c r="C725" t="s">
        <v>1934</v>
      </c>
      <c r="D725" s="3" t="s">
        <v>2409</v>
      </c>
      <c r="E725">
        <v>3</v>
      </c>
      <c r="F725">
        <v>54.95</v>
      </c>
      <c r="G725" t="s">
        <v>2471</v>
      </c>
      <c r="H725" s="3" t="s">
        <v>3069</v>
      </c>
      <c r="I725" s="3" t="s">
        <v>3072</v>
      </c>
      <c r="J725" t="s">
        <v>3798</v>
      </c>
      <c r="K725">
        <v>8</v>
      </c>
      <c r="L725" t="s">
        <v>4275</v>
      </c>
      <c r="M725" s="3" t="s">
        <v>4279</v>
      </c>
      <c r="N725">
        <v>164.85</v>
      </c>
    </row>
    <row r="726" spans="1:14" x14ac:dyDescent="0.35">
      <c r="A726" t="s">
        <v>738</v>
      </c>
      <c r="B726" t="s">
        <v>4550</v>
      </c>
      <c r="C726" t="s">
        <v>1935</v>
      </c>
      <c r="D726" s="3" t="s">
        <v>2407</v>
      </c>
      <c r="E726">
        <v>3</v>
      </c>
      <c r="F726">
        <v>136.97</v>
      </c>
      <c r="G726" t="s">
        <v>2667</v>
      </c>
      <c r="H726" s="3" t="s">
        <v>3067</v>
      </c>
      <c r="I726" s="3" t="s">
        <v>3072</v>
      </c>
      <c r="J726" t="s">
        <v>3799</v>
      </c>
      <c r="K726">
        <v>4</v>
      </c>
      <c r="L726" t="s">
        <v>4276</v>
      </c>
      <c r="M726" s="3" t="s">
        <v>4279</v>
      </c>
      <c r="N726">
        <v>410.91</v>
      </c>
    </row>
    <row r="727" spans="1:14" x14ac:dyDescent="0.35">
      <c r="A727" t="s">
        <v>739</v>
      </c>
      <c r="B727" t="s">
        <v>4539</v>
      </c>
      <c r="C727" t="s">
        <v>1936</v>
      </c>
      <c r="D727" s="3" t="s">
        <v>2406</v>
      </c>
      <c r="E727">
        <v>2</v>
      </c>
      <c r="F727">
        <v>194.85</v>
      </c>
      <c r="G727" t="s">
        <v>2787</v>
      </c>
      <c r="H727" s="3" t="s">
        <v>3068</v>
      </c>
      <c r="I727" s="3" t="s">
        <v>3072</v>
      </c>
      <c r="J727" t="s">
        <v>3800</v>
      </c>
      <c r="K727">
        <v>5</v>
      </c>
      <c r="L727" t="s">
        <v>4292</v>
      </c>
      <c r="M727" s="3" t="s">
        <v>4279</v>
      </c>
      <c r="N727">
        <v>389.7</v>
      </c>
    </row>
    <row r="728" spans="1:14" x14ac:dyDescent="0.35">
      <c r="A728" t="s">
        <v>740</v>
      </c>
      <c r="B728" t="s">
        <v>4794</v>
      </c>
      <c r="C728" t="s">
        <v>1937</v>
      </c>
      <c r="D728" s="3" t="s">
        <v>2408</v>
      </c>
      <c r="E728">
        <v>4</v>
      </c>
      <c r="F728">
        <v>583.02</v>
      </c>
      <c r="G728" t="s">
        <v>2894</v>
      </c>
      <c r="H728" s="3" t="s">
        <v>3066</v>
      </c>
      <c r="I728" s="3" t="s">
        <v>3073</v>
      </c>
      <c r="J728" t="s">
        <v>3801</v>
      </c>
      <c r="K728">
        <v>4</v>
      </c>
      <c r="L728" t="s">
        <v>4276</v>
      </c>
      <c r="M728" s="3" t="s">
        <v>4281</v>
      </c>
      <c r="N728">
        <v>2332.08</v>
      </c>
    </row>
    <row r="729" spans="1:14" x14ac:dyDescent="0.35">
      <c r="A729" t="s">
        <v>741</v>
      </c>
      <c r="B729" t="s">
        <v>4754</v>
      </c>
      <c r="C729" t="s">
        <v>1938</v>
      </c>
      <c r="D729" s="3" t="s">
        <v>2406</v>
      </c>
      <c r="E729">
        <v>5</v>
      </c>
      <c r="F729">
        <v>95.75</v>
      </c>
      <c r="G729" t="s">
        <v>2748</v>
      </c>
      <c r="H729" s="3" t="s">
        <v>3066</v>
      </c>
      <c r="I729" s="3" t="s">
        <v>3070</v>
      </c>
      <c r="J729" t="s">
        <v>3802</v>
      </c>
      <c r="K729">
        <v>8</v>
      </c>
      <c r="L729" t="s">
        <v>4275</v>
      </c>
      <c r="M729" s="3" t="s">
        <v>4278</v>
      </c>
      <c r="N729">
        <v>478.75</v>
      </c>
    </row>
    <row r="730" spans="1:14" x14ac:dyDescent="0.35">
      <c r="A730" t="s">
        <v>742</v>
      </c>
      <c r="B730" t="s">
        <v>4795</v>
      </c>
      <c r="C730" t="s">
        <v>1939</v>
      </c>
      <c r="D730" s="3" t="s">
        <v>2409</v>
      </c>
      <c r="E730">
        <v>4</v>
      </c>
      <c r="F730">
        <v>325.76</v>
      </c>
      <c r="G730" t="s">
        <v>2895</v>
      </c>
      <c r="H730" s="3" t="s">
        <v>3068</v>
      </c>
      <c r="I730" s="3" t="s">
        <v>3070</v>
      </c>
      <c r="J730" t="s">
        <v>3803</v>
      </c>
      <c r="K730">
        <v>8</v>
      </c>
      <c r="L730" t="s">
        <v>4277</v>
      </c>
      <c r="M730" s="3" t="s">
        <v>4280</v>
      </c>
      <c r="N730">
        <v>1303.04</v>
      </c>
    </row>
    <row r="731" spans="1:14" x14ac:dyDescent="0.35">
      <c r="A731" t="s">
        <v>743</v>
      </c>
      <c r="B731" t="s">
        <v>4386</v>
      </c>
      <c r="C731" t="s">
        <v>1940</v>
      </c>
      <c r="D731" s="3" t="s">
        <v>2404</v>
      </c>
      <c r="E731">
        <v>4</v>
      </c>
      <c r="F731">
        <v>186.41</v>
      </c>
      <c r="G731" t="s">
        <v>2555</v>
      </c>
      <c r="H731" s="3" t="s">
        <v>3068</v>
      </c>
      <c r="I731" s="3" t="s">
        <v>3074</v>
      </c>
      <c r="J731" t="s">
        <v>3804</v>
      </c>
      <c r="K731">
        <v>6</v>
      </c>
      <c r="L731" t="s">
        <v>4275</v>
      </c>
      <c r="M731" s="3" t="s">
        <v>4282</v>
      </c>
      <c r="N731">
        <v>745.64</v>
      </c>
    </row>
    <row r="732" spans="1:14" x14ac:dyDescent="0.35">
      <c r="A732" t="s">
        <v>744</v>
      </c>
      <c r="B732" t="s">
        <v>4796</v>
      </c>
      <c r="C732" t="s">
        <v>1941</v>
      </c>
      <c r="D732" s="3" t="s">
        <v>2404</v>
      </c>
      <c r="E732">
        <v>1</v>
      </c>
      <c r="F732">
        <v>474.6</v>
      </c>
      <c r="G732" t="s">
        <v>2618</v>
      </c>
      <c r="H732" s="3" t="s">
        <v>3065</v>
      </c>
      <c r="I732" s="3" t="s">
        <v>3073</v>
      </c>
      <c r="J732" t="s">
        <v>3805</v>
      </c>
      <c r="K732">
        <v>4</v>
      </c>
      <c r="L732" t="s">
        <v>4275</v>
      </c>
      <c r="M732" s="3" t="s">
        <v>4280</v>
      </c>
      <c r="N732">
        <v>474.6</v>
      </c>
    </row>
    <row r="733" spans="1:14" x14ac:dyDescent="0.35">
      <c r="A733" t="s">
        <v>745</v>
      </c>
      <c r="B733" t="s">
        <v>4551</v>
      </c>
      <c r="C733" t="s">
        <v>1942</v>
      </c>
      <c r="D733" s="3" t="s">
        <v>2407</v>
      </c>
      <c r="E733">
        <v>5</v>
      </c>
      <c r="F733">
        <v>584.46</v>
      </c>
      <c r="G733" t="s">
        <v>2896</v>
      </c>
      <c r="H733" s="3" t="s">
        <v>3067</v>
      </c>
      <c r="I733" s="3" t="s">
        <v>3072</v>
      </c>
      <c r="J733" t="s">
        <v>3806</v>
      </c>
      <c r="K733">
        <v>8</v>
      </c>
      <c r="L733" t="s">
        <v>4292</v>
      </c>
      <c r="M733" s="3" t="s">
        <v>4280</v>
      </c>
      <c r="N733">
        <v>2922.3</v>
      </c>
    </row>
    <row r="734" spans="1:14" x14ac:dyDescent="0.35">
      <c r="A734" t="s">
        <v>746</v>
      </c>
      <c r="B734" t="s">
        <v>4740</v>
      </c>
      <c r="C734" t="s">
        <v>1943</v>
      </c>
      <c r="D734" s="3" t="s">
        <v>2408</v>
      </c>
      <c r="E734">
        <v>1</v>
      </c>
      <c r="F734">
        <v>132.05000000000001</v>
      </c>
      <c r="G734" t="s">
        <v>2876</v>
      </c>
      <c r="H734" s="3" t="s">
        <v>3066</v>
      </c>
      <c r="I734" s="3" t="s">
        <v>3073</v>
      </c>
      <c r="J734" t="s">
        <v>3807</v>
      </c>
      <c r="K734">
        <v>2</v>
      </c>
      <c r="L734" t="s">
        <v>4292</v>
      </c>
      <c r="M734" s="3" t="s">
        <v>4282</v>
      </c>
      <c r="N734">
        <v>132.05000000000001</v>
      </c>
    </row>
    <row r="735" spans="1:14" x14ac:dyDescent="0.35">
      <c r="A735" t="s">
        <v>747</v>
      </c>
      <c r="B735" t="s">
        <v>4797</v>
      </c>
      <c r="C735" t="s">
        <v>1944</v>
      </c>
      <c r="D735" s="3" t="s">
        <v>2405</v>
      </c>
      <c r="E735">
        <v>4</v>
      </c>
      <c r="F735">
        <v>494.84</v>
      </c>
      <c r="G735" t="s">
        <v>2869</v>
      </c>
      <c r="H735" s="3" t="s">
        <v>3069</v>
      </c>
      <c r="I735" s="3" t="s">
        <v>3072</v>
      </c>
      <c r="J735" t="s">
        <v>3808</v>
      </c>
      <c r="K735">
        <v>8</v>
      </c>
      <c r="L735" t="s">
        <v>4275</v>
      </c>
      <c r="M735" s="3" t="s">
        <v>4280</v>
      </c>
      <c r="N735">
        <v>1979.36</v>
      </c>
    </row>
    <row r="736" spans="1:14" x14ac:dyDescent="0.35">
      <c r="A736" t="s">
        <v>748</v>
      </c>
      <c r="B736" t="s">
        <v>4798</v>
      </c>
      <c r="C736" t="s">
        <v>1945</v>
      </c>
      <c r="D736" s="3" t="s">
        <v>2407</v>
      </c>
      <c r="E736">
        <v>4</v>
      </c>
      <c r="F736">
        <v>224.61</v>
      </c>
      <c r="G736" t="s">
        <v>2655</v>
      </c>
      <c r="H736" s="3" t="s">
        <v>3067</v>
      </c>
      <c r="I736" s="3" t="s">
        <v>3072</v>
      </c>
      <c r="J736" t="s">
        <v>3809</v>
      </c>
      <c r="K736">
        <v>6</v>
      </c>
      <c r="L736" t="s">
        <v>4277</v>
      </c>
      <c r="M736" s="3" t="s">
        <v>4281</v>
      </c>
      <c r="N736">
        <v>898.44</v>
      </c>
    </row>
    <row r="737" spans="1:14" x14ac:dyDescent="0.35">
      <c r="A737" t="s">
        <v>749</v>
      </c>
      <c r="B737" t="s">
        <v>4799</v>
      </c>
      <c r="C737" t="s">
        <v>1946</v>
      </c>
      <c r="D737" s="3" t="s">
        <v>2403</v>
      </c>
      <c r="E737">
        <v>4</v>
      </c>
      <c r="F737">
        <v>44.07</v>
      </c>
      <c r="G737" t="s">
        <v>2729</v>
      </c>
      <c r="H737" s="3" t="s">
        <v>3065</v>
      </c>
      <c r="I737" s="3" t="s">
        <v>3074</v>
      </c>
      <c r="J737" t="s">
        <v>3810</v>
      </c>
      <c r="K737">
        <v>6</v>
      </c>
      <c r="L737" t="s">
        <v>4292</v>
      </c>
      <c r="M737" s="3" t="s">
        <v>4280</v>
      </c>
      <c r="N737">
        <v>176.28</v>
      </c>
    </row>
    <row r="738" spans="1:14" x14ac:dyDescent="0.35">
      <c r="A738" t="s">
        <v>750</v>
      </c>
      <c r="B738" t="s">
        <v>4800</v>
      </c>
      <c r="C738" t="s">
        <v>1947</v>
      </c>
      <c r="D738" s="3" t="s">
        <v>2403</v>
      </c>
      <c r="E738">
        <v>5</v>
      </c>
      <c r="F738">
        <v>418.53</v>
      </c>
      <c r="G738" t="s">
        <v>2796</v>
      </c>
      <c r="H738" s="3" t="s">
        <v>3067</v>
      </c>
      <c r="I738" s="3" t="s">
        <v>3074</v>
      </c>
      <c r="J738" t="s">
        <v>3811</v>
      </c>
      <c r="K738">
        <v>6</v>
      </c>
      <c r="L738" t="s">
        <v>4276</v>
      </c>
      <c r="M738" s="3" t="s">
        <v>4282</v>
      </c>
      <c r="N738">
        <v>2092.65</v>
      </c>
    </row>
    <row r="739" spans="1:14" x14ac:dyDescent="0.35">
      <c r="A739" t="s">
        <v>751</v>
      </c>
      <c r="B739" t="s">
        <v>4801</v>
      </c>
      <c r="C739" t="s">
        <v>1948</v>
      </c>
      <c r="D739" s="3" t="s">
        <v>2404</v>
      </c>
      <c r="E739">
        <v>4</v>
      </c>
      <c r="F739">
        <v>532.87</v>
      </c>
      <c r="G739" t="s">
        <v>2897</v>
      </c>
      <c r="H739" s="3" t="s">
        <v>3069</v>
      </c>
      <c r="I739" s="3" t="s">
        <v>3074</v>
      </c>
      <c r="J739" t="s">
        <v>3812</v>
      </c>
      <c r="K739">
        <v>9</v>
      </c>
      <c r="L739" t="s">
        <v>4276</v>
      </c>
      <c r="M739" s="3" t="s">
        <v>4278</v>
      </c>
      <c r="N739">
        <v>2131.48</v>
      </c>
    </row>
    <row r="740" spans="1:14" x14ac:dyDescent="0.35">
      <c r="A740" t="s">
        <v>752</v>
      </c>
      <c r="B740" t="s">
        <v>4802</v>
      </c>
      <c r="C740" t="s">
        <v>1949</v>
      </c>
      <c r="D740" s="3" t="s">
        <v>2404</v>
      </c>
      <c r="E740">
        <v>2</v>
      </c>
      <c r="F740">
        <v>485.37</v>
      </c>
      <c r="G740" t="s">
        <v>2898</v>
      </c>
      <c r="H740" s="3" t="s">
        <v>3067</v>
      </c>
      <c r="I740" s="3" t="s">
        <v>3070</v>
      </c>
      <c r="J740" t="s">
        <v>3813</v>
      </c>
      <c r="K740">
        <v>5</v>
      </c>
      <c r="L740" t="s">
        <v>4275</v>
      </c>
      <c r="M740" s="3" t="s">
        <v>4280</v>
      </c>
      <c r="N740">
        <v>970.74</v>
      </c>
    </row>
    <row r="741" spans="1:14" x14ac:dyDescent="0.35">
      <c r="A741" t="s">
        <v>753</v>
      </c>
      <c r="B741" t="s">
        <v>4420</v>
      </c>
      <c r="C741" t="s">
        <v>1950</v>
      </c>
      <c r="D741" s="3" t="s">
        <v>2404</v>
      </c>
      <c r="E741">
        <v>4</v>
      </c>
      <c r="F741">
        <v>386.73</v>
      </c>
      <c r="G741" t="s">
        <v>2532</v>
      </c>
      <c r="H741" s="3" t="s">
        <v>3069</v>
      </c>
      <c r="I741" s="3" t="s">
        <v>3073</v>
      </c>
      <c r="J741" t="s">
        <v>3814</v>
      </c>
      <c r="K741">
        <v>4</v>
      </c>
      <c r="L741" t="s">
        <v>4275</v>
      </c>
      <c r="M741" s="3" t="s">
        <v>4281</v>
      </c>
      <c r="N741">
        <v>1546.92</v>
      </c>
    </row>
    <row r="742" spans="1:14" x14ac:dyDescent="0.35">
      <c r="A742" t="s">
        <v>754</v>
      </c>
      <c r="B742" t="s">
        <v>4635</v>
      </c>
      <c r="C742" t="s">
        <v>1951</v>
      </c>
      <c r="D742" s="3" t="s">
        <v>2409</v>
      </c>
      <c r="E742">
        <v>2</v>
      </c>
      <c r="F742">
        <v>377.47</v>
      </c>
      <c r="G742" t="s">
        <v>2749</v>
      </c>
      <c r="H742" s="3" t="s">
        <v>3069</v>
      </c>
      <c r="I742" s="3" t="s">
        <v>3074</v>
      </c>
      <c r="J742" t="s">
        <v>3815</v>
      </c>
      <c r="K742">
        <v>7</v>
      </c>
      <c r="L742" t="s">
        <v>4292</v>
      </c>
      <c r="M742" s="3" t="s">
        <v>4282</v>
      </c>
      <c r="N742">
        <v>754.94</v>
      </c>
    </row>
    <row r="743" spans="1:14" x14ac:dyDescent="0.35">
      <c r="A743" t="s">
        <v>755</v>
      </c>
      <c r="B743" t="s">
        <v>4469</v>
      </c>
      <c r="C743" t="s">
        <v>1952</v>
      </c>
      <c r="D743" s="3" t="s">
        <v>2403</v>
      </c>
      <c r="E743">
        <v>5</v>
      </c>
      <c r="F743">
        <v>332.64</v>
      </c>
      <c r="G743" t="s">
        <v>2899</v>
      </c>
      <c r="H743" s="3" t="s">
        <v>3068</v>
      </c>
      <c r="I743" s="3" t="s">
        <v>3073</v>
      </c>
      <c r="J743" t="s">
        <v>3816</v>
      </c>
      <c r="K743">
        <v>10</v>
      </c>
      <c r="L743" t="s">
        <v>4292</v>
      </c>
      <c r="M743" s="3" t="s">
        <v>4279</v>
      </c>
      <c r="N743">
        <v>1663.2</v>
      </c>
    </row>
    <row r="744" spans="1:14" x14ac:dyDescent="0.35">
      <c r="A744" t="s">
        <v>756</v>
      </c>
      <c r="B744" t="s">
        <v>4803</v>
      </c>
      <c r="C744" t="s">
        <v>1953</v>
      </c>
      <c r="D744" s="3" t="s">
        <v>2408</v>
      </c>
      <c r="E744">
        <v>3</v>
      </c>
      <c r="F744">
        <v>699.93</v>
      </c>
      <c r="G744" t="s">
        <v>2664</v>
      </c>
      <c r="H744" s="3" t="s">
        <v>3069</v>
      </c>
      <c r="I744" s="3" t="s">
        <v>3072</v>
      </c>
      <c r="J744" t="s">
        <v>3817</v>
      </c>
      <c r="K744">
        <v>7</v>
      </c>
      <c r="L744" t="s">
        <v>4275</v>
      </c>
      <c r="M744" s="3" t="s">
        <v>4282</v>
      </c>
      <c r="N744">
        <v>2099.79</v>
      </c>
    </row>
    <row r="745" spans="1:14" x14ac:dyDescent="0.35">
      <c r="A745" t="s">
        <v>757</v>
      </c>
      <c r="B745" t="s">
        <v>4714</v>
      </c>
      <c r="C745" t="s">
        <v>1954</v>
      </c>
      <c r="D745" s="3" t="s">
        <v>2403</v>
      </c>
      <c r="E745">
        <v>1</v>
      </c>
      <c r="F745">
        <v>576.35</v>
      </c>
      <c r="G745" t="s">
        <v>2448</v>
      </c>
      <c r="H745" s="3" t="s">
        <v>3068</v>
      </c>
      <c r="I745" s="3" t="s">
        <v>3072</v>
      </c>
      <c r="J745" t="s">
        <v>3818</v>
      </c>
      <c r="K745">
        <v>1</v>
      </c>
      <c r="L745" t="s">
        <v>4277</v>
      </c>
      <c r="M745" s="3" t="s">
        <v>4278</v>
      </c>
      <c r="N745">
        <v>576.35</v>
      </c>
    </row>
    <row r="746" spans="1:14" x14ac:dyDescent="0.35">
      <c r="A746" t="s">
        <v>758</v>
      </c>
      <c r="B746" t="s">
        <v>4804</v>
      </c>
      <c r="C746" t="s">
        <v>1955</v>
      </c>
      <c r="D746" s="3" t="s">
        <v>2405</v>
      </c>
      <c r="E746">
        <v>2</v>
      </c>
      <c r="F746">
        <v>461.37</v>
      </c>
      <c r="G746" t="s">
        <v>2900</v>
      </c>
      <c r="H746" s="3" t="s">
        <v>3069</v>
      </c>
      <c r="I746" s="3" t="s">
        <v>3073</v>
      </c>
      <c r="J746" t="s">
        <v>3819</v>
      </c>
      <c r="K746">
        <v>5</v>
      </c>
      <c r="L746" t="s">
        <v>4275</v>
      </c>
      <c r="M746" s="3" t="s">
        <v>4282</v>
      </c>
      <c r="N746">
        <v>922.74</v>
      </c>
    </row>
    <row r="747" spans="1:14" x14ac:dyDescent="0.35">
      <c r="A747" t="s">
        <v>759</v>
      </c>
      <c r="B747" t="s">
        <v>4805</v>
      </c>
      <c r="C747" t="s">
        <v>1956</v>
      </c>
      <c r="D747" s="3" t="s">
        <v>2407</v>
      </c>
      <c r="E747">
        <v>4</v>
      </c>
      <c r="F747">
        <v>111.3</v>
      </c>
      <c r="G747" t="s">
        <v>2901</v>
      </c>
      <c r="H747" s="3" t="s">
        <v>3065</v>
      </c>
      <c r="I747" s="3" t="s">
        <v>3074</v>
      </c>
      <c r="J747" t="s">
        <v>3820</v>
      </c>
      <c r="K747">
        <v>7</v>
      </c>
      <c r="L747" t="s">
        <v>4276</v>
      </c>
      <c r="M747" s="3" t="s">
        <v>4280</v>
      </c>
      <c r="N747">
        <v>445.2</v>
      </c>
    </row>
    <row r="748" spans="1:14" x14ac:dyDescent="0.35">
      <c r="A748" t="s">
        <v>760</v>
      </c>
      <c r="B748" t="s">
        <v>4806</v>
      </c>
      <c r="C748" t="s">
        <v>1957</v>
      </c>
      <c r="D748" s="3" t="s">
        <v>2409</v>
      </c>
      <c r="E748">
        <v>3</v>
      </c>
      <c r="F748">
        <v>661.89</v>
      </c>
      <c r="G748" t="s">
        <v>2902</v>
      </c>
      <c r="H748" s="3" t="s">
        <v>3066</v>
      </c>
      <c r="I748" s="3" t="s">
        <v>3071</v>
      </c>
      <c r="J748" t="s">
        <v>3821</v>
      </c>
      <c r="K748">
        <v>6</v>
      </c>
      <c r="L748" t="s">
        <v>4277</v>
      </c>
      <c r="M748" s="3" t="s">
        <v>4279</v>
      </c>
      <c r="N748">
        <v>1985.67</v>
      </c>
    </row>
    <row r="749" spans="1:14" x14ac:dyDescent="0.35">
      <c r="A749" t="s">
        <v>761</v>
      </c>
      <c r="B749" t="s">
        <v>4779</v>
      </c>
      <c r="C749" t="s">
        <v>1958</v>
      </c>
      <c r="D749" s="3" t="s">
        <v>2405</v>
      </c>
      <c r="E749">
        <v>2</v>
      </c>
      <c r="F749">
        <v>259.58</v>
      </c>
      <c r="G749" t="s">
        <v>2903</v>
      </c>
      <c r="H749" s="3" t="s">
        <v>3065</v>
      </c>
      <c r="I749" s="3" t="s">
        <v>3073</v>
      </c>
      <c r="J749" t="s">
        <v>3822</v>
      </c>
      <c r="K749">
        <v>7</v>
      </c>
      <c r="L749" t="s">
        <v>4276</v>
      </c>
      <c r="M749" s="3" t="s">
        <v>4278</v>
      </c>
      <c r="N749">
        <v>519.16</v>
      </c>
    </row>
    <row r="750" spans="1:14" x14ac:dyDescent="0.35">
      <c r="A750" t="s">
        <v>762</v>
      </c>
      <c r="B750" t="s">
        <v>4807</v>
      </c>
      <c r="C750" t="s">
        <v>1959</v>
      </c>
      <c r="D750" s="3" t="s">
        <v>2405</v>
      </c>
      <c r="E750">
        <v>3</v>
      </c>
      <c r="F750">
        <v>70.81</v>
      </c>
      <c r="G750" t="s">
        <v>2789</v>
      </c>
      <c r="H750" s="3" t="s">
        <v>3067</v>
      </c>
      <c r="I750" s="3" t="s">
        <v>3070</v>
      </c>
      <c r="J750" t="s">
        <v>3823</v>
      </c>
      <c r="K750">
        <v>8</v>
      </c>
      <c r="L750" t="s">
        <v>4276</v>
      </c>
      <c r="M750" s="3" t="s">
        <v>4279</v>
      </c>
      <c r="N750">
        <v>212.43</v>
      </c>
    </row>
    <row r="751" spans="1:14" x14ac:dyDescent="0.35">
      <c r="A751" t="s">
        <v>763</v>
      </c>
      <c r="B751" t="s">
        <v>4808</v>
      </c>
      <c r="C751" t="s">
        <v>1960</v>
      </c>
      <c r="D751" s="3" t="s">
        <v>2408</v>
      </c>
      <c r="E751">
        <v>1</v>
      </c>
      <c r="F751">
        <v>518.39</v>
      </c>
      <c r="G751" t="s">
        <v>2904</v>
      </c>
      <c r="H751" s="3" t="s">
        <v>3065</v>
      </c>
      <c r="I751" s="3" t="s">
        <v>3074</v>
      </c>
      <c r="J751" t="s">
        <v>3824</v>
      </c>
      <c r="K751">
        <v>4</v>
      </c>
      <c r="L751" t="s">
        <v>4276</v>
      </c>
      <c r="M751" s="3" t="s">
        <v>4278</v>
      </c>
      <c r="N751">
        <v>518.39</v>
      </c>
    </row>
    <row r="752" spans="1:14" x14ac:dyDescent="0.35">
      <c r="A752" t="s">
        <v>764</v>
      </c>
      <c r="B752" t="s">
        <v>4374</v>
      </c>
      <c r="C752" t="s">
        <v>1961</v>
      </c>
      <c r="D752" s="3" t="s">
        <v>2405</v>
      </c>
      <c r="E752">
        <v>4</v>
      </c>
      <c r="F752">
        <v>145.41</v>
      </c>
      <c r="G752" t="s">
        <v>2905</v>
      </c>
      <c r="H752" s="3" t="s">
        <v>3067</v>
      </c>
      <c r="I752" s="3" t="s">
        <v>3072</v>
      </c>
      <c r="J752" t="s">
        <v>3825</v>
      </c>
      <c r="K752">
        <v>7</v>
      </c>
      <c r="L752" t="s">
        <v>4276</v>
      </c>
      <c r="M752" s="3" t="s">
        <v>4280</v>
      </c>
      <c r="N752">
        <v>581.64</v>
      </c>
    </row>
    <row r="753" spans="1:14" x14ac:dyDescent="0.35">
      <c r="A753" t="s">
        <v>765</v>
      </c>
      <c r="B753" t="s">
        <v>4300</v>
      </c>
      <c r="C753" t="s">
        <v>1962</v>
      </c>
      <c r="D753" s="3" t="s">
        <v>2405</v>
      </c>
      <c r="E753">
        <v>2</v>
      </c>
      <c r="F753">
        <v>599.86</v>
      </c>
      <c r="G753" t="s">
        <v>2906</v>
      </c>
      <c r="H753" s="3" t="s">
        <v>3068</v>
      </c>
      <c r="I753" s="3" t="s">
        <v>3074</v>
      </c>
      <c r="J753" t="s">
        <v>3826</v>
      </c>
      <c r="K753">
        <v>7</v>
      </c>
      <c r="L753" t="s">
        <v>4276</v>
      </c>
      <c r="M753" s="3" t="s">
        <v>4281</v>
      </c>
      <c r="N753">
        <v>1199.72</v>
      </c>
    </row>
    <row r="754" spans="1:14" x14ac:dyDescent="0.35">
      <c r="A754" t="s">
        <v>766</v>
      </c>
      <c r="B754" t="s">
        <v>4809</v>
      </c>
      <c r="C754" t="s">
        <v>1963</v>
      </c>
      <c r="D754" s="3" t="s">
        <v>2404</v>
      </c>
      <c r="E754">
        <v>4</v>
      </c>
      <c r="F754">
        <v>429.37</v>
      </c>
      <c r="G754" t="s">
        <v>2648</v>
      </c>
      <c r="H754" s="3" t="s">
        <v>3067</v>
      </c>
      <c r="I754" s="3" t="s">
        <v>3073</v>
      </c>
      <c r="J754" t="s">
        <v>3827</v>
      </c>
      <c r="K754">
        <v>8</v>
      </c>
      <c r="L754" t="s">
        <v>4276</v>
      </c>
      <c r="M754" s="3" t="s">
        <v>4282</v>
      </c>
      <c r="N754">
        <v>1717.48</v>
      </c>
    </row>
    <row r="755" spans="1:14" x14ac:dyDescent="0.35">
      <c r="A755" t="s">
        <v>767</v>
      </c>
      <c r="B755" t="s">
        <v>4810</v>
      </c>
      <c r="C755" t="s">
        <v>1964</v>
      </c>
      <c r="D755" s="3" t="s">
        <v>2404</v>
      </c>
      <c r="E755">
        <v>2</v>
      </c>
      <c r="F755">
        <v>241.49</v>
      </c>
      <c r="G755" t="s">
        <v>2907</v>
      </c>
      <c r="H755" s="3" t="s">
        <v>3065</v>
      </c>
      <c r="I755" s="3" t="s">
        <v>3072</v>
      </c>
      <c r="J755" t="s">
        <v>3828</v>
      </c>
      <c r="K755">
        <v>7</v>
      </c>
      <c r="L755" t="s">
        <v>4276</v>
      </c>
      <c r="M755" s="3" t="s">
        <v>4278</v>
      </c>
      <c r="N755">
        <v>482.98</v>
      </c>
    </row>
    <row r="756" spans="1:14" x14ac:dyDescent="0.35">
      <c r="A756" t="s">
        <v>768</v>
      </c>
      <c r="B756" t="s">
        <v>4417</v>
      </c>
      <c r="C756" t="s">
        <v>1965</v>
      </c>
      <c r="D756" s="3" t="s">
        <v>2407</v>
      </c>
      <c r="E756">
        <v>2</v>
      </c>
      <c r="F756">
        <v>452.05</v>
      </c>
      <c r="G756" t="s">
        <v>2908</v>
      </c>
      <c r="H756" s="3" t="s">
        <v>3067</v>
      </c>
      <c r="I756" s="3" t="s">
        <v>3072</v>
      </c>
      <c r="J756" t="s">
        <v>3829</v>
      </c>
      <c r="K756">
        <v>3</v>
      </c>
      <c r="L756" t="s">
        <v>4277</v>
      </c>
      <c r="M756" s="3" t="s">
        <v>4280</v>
      </c>
      <c r="N756">
        <v>904.1</v>
      </c>
    </row>
    <row r="757" spans="1:14" x14ac:dyDescent="0.35">
      <c r="A757" t="s">
        <v>769</v>
      </c>
      <c r="B757" t="s">
        <v>4811</v>
      </c>
      <c r="C757" t="s">
        <v>1966</v>
      </c>
      <c r="D757" s="3" t="s">
        <v>2409</v>
      </c>
      <c r="E757">
        <v>3</v>
      </c>
      <c r="F757">
        <v>336.71</v>
      </c>
      <c r="G757" t="s">
        <v>2909</v>
      </c>
      <c r="H757" s="3" t="s">
        <v>3067</v>
      </c>
      <c r="I757" s="3" t="s">
        <v>3074</v>
      </c>
      <c r="J757" t="s">
        <v>3830</v>
      </c>
      <c r="K757">
        <v>4</v>
      </c>
      <c r="L757" t="s">
        <v>4292</v>
      </c>
      <c r="M757" s="3" t="s">
        <v>4280</v>
      </c>
      <c r="N757">
        <v>1010.13</v>
      </c>
    </row>
    <row r="758" spans="1:14" x14ac:dyDescent="0.35">
      <c r="A758" t="s">
        <v>770</v>
      </c>
      <c r="B758" t="s">
        <v>4610</v>
      </c>
      <c r="C758" t="s">
        <v>1967</v>
      </c>
      <c r="D758" s="3" t="s">
        <v>2404</v>
      </c>
      <c r="E758">
        <v>1</v>
      </c>
      <c r="F758">
        <v>283.69</v>
      </c>
      <c r="G758" t="s">
        <v>2464</v>
      </c>
      <c r="H758" s="3" t="s">
        <v>3068</v>
      </c>
      <c r="I758" s="3" t="s">
        <v>3070</v>
      </c>
      <c r="J758" t="s">
        <v>3831</v>
      </c>
      <c r="K758">
        <v>6</v>
      </c>
      <c r="L758" t="s">
        <v>4292</v>
      </c>
      <c r="M758" s="3" t="s">
        <v>4282</v>
      </c>
      <c r="N758">
        <v>283.69</v>
      </c>
    </row>
    <row r="759" spans="1:14" x14ac:dyDescent="0.35">
      <c r="A759" t="s">
        <v>771</v>
      </c>
      <c r="B759" t="s">
        <v>4311</v>
      </c>
      <c r="C759" t="s">
        <v>1968</v>
      </c>
      <c r="D759" s="3" t="s">
        <v>2409</v>
      </c>
      <c r="E759">
        <v>1</v>
      </c>
      <c r="F759">
        <v>157.72</v>
      </c>
      <c r="G759" t="s">
        <v>2581</v>
      </c>
      <c r="H759" s="3" t="s">
        <v>3065</v>
      </c>
      <c r="I759" s="3" t="s">
        <v>3073</v>
      </c>
      <c r="J759" t="s">
        <v>3832</v>
      </c>
      <c r="K759">
        <v>2</v>
      </c>
      <c r="L759" t="s">
        <v>4276</v>
      </c>
      <c r="M759" s="3" t="s">
        <v>4282</v>
      </c>
      <c r="N759">
        <v>157.72</v>
      </c>
    </row>
    <row r="760" spans="1:14" x14ac:dyDescent="0.35">
      <c r="A760" t="s">
        <v>772</v>
      </c>
      <c r="B760" t="s">
        <v>4749</v>
      </c>
      <c r="C760" t="s">
        <v>1969</v>
      </c>
      <c r="D760" s="3" t="s">
        <v>2405</v>
      </c>
      <c r="E760">
        <v>3</v>
      </c>
      <c r="F760">
        <v>624.84</v>
      </c>
      <c r="G760" t="s">
        <v>2479</v>
      </c>
      <c r="H760" s="3" t="s">
        <v>3067</v>
      </c>
      <c r="I760" s="3" t="s">
        <v>3071</v>
      </c>
      <c r="J760" t="s">
        <v>3833</v>
      </c>
      <c r="K760">
        <v>8</v>
      </c>
      <c r="L760" t="s">
        <v>4277</v>
      </c>
      <c r="M760" s="3" t="s">
        <v>4281</v>
      </c>
      <c r="N760">
        <v>1874.52</v>
      </c>
    </row>
    <row r="761" spans="1:14" x14ac:dyDescent="0.35">
      <c r="A761" t="s">
        <v>773</v>
      </c>
      <c r="B761" t="s">
        <v>4812</v>
      </c>
      <c r="C761" t="s">
        <v>1970</v>
      </c>
      <c r="D761" s="3" t="s">
        <v>2409</v>
      </c>
      <c r="E761">
        <v>3</v>
      </c>
      <c r="F761">
        <v>308.01</v>
      </c>
      <c r="G761" t="s">
        <v>2910</v>
      </c>
      <c r="H761" s="3" t="s">
        <v>3069</v>
      </c>
      <c r="I761" s="3" t="s">
        <v>3074</v>
      </c>
      <c r="J761" t="s">
        <v>3834</v>
      </c>
      <c r="K761">
        <v>3</v>
      </c>
      <c r="L761" t="s">
        <v>4276</v>
      </c>
      <c r="M761" s="3" t="s">
        <v>4281</v>
      </c>
      <c r="N761">
        <v>924.03</v>
      </c>
    </row>
    <row r="762" spans="1:14" x14ac:dyDescent="0.35">
      <c r="A762" t="s">
        <v>774</v>
      </c>
      <c r="B762" t="s">
        <v>4687</v>
      </c>
      <c r="C762" t="s">
        <v>1971</v>
      </c>
      <c r="D762" s="3" t="s">
        <v>2409</v>
      </c>
      <c r="E762">
        <v>1</v>
      </c>
      <c r="F762">
        <v>39.56</v>
      </c>
      <c r="G762" t="s">
        <v>2570</v>
      </c>
      <c r="H762" s="3" t="s">
        <v>3065</v>
      </c>
      <c r="I762" s="3" t="s">
        <v>3071</v>
      </c>
      <c r="J762" t="s">
        <v>3835</v>
      </c>
      <c r="K762">
        <v>5</v>
      </c>
      <c r="L762" t="s">
        <v>4292</v>
      </c>
      <c r="M762" s="3" t="s">
        <v>4282</v>
      </c>
      <c r="N762">
        <v>39.56</v>
      </c>
    </row>
    <row r="763" spans="1:14" x14ac:dyDescent="0.35">
      <c r="A763" t="s">
        <v>775</v>
      </c>
      <c r="B763" t="s">
        <v>4738</v>
      </c>
      <c r="C763" t="s">
        <v>1972</v>
      </c>
      <c r="D763" s="3" t="s">
        <v>2409</v>
      </c>
      <c r="E763">
        <v>4</v>
      </c>
      <c r="F763">
        <v>37.76</v>
      </c>
      <c r="G763" t="s">
        <v>2911</v>
      </c>
      <c r="H763" s="3" t="s">
        <v>3065</v>
      </c>
      <c r="I763" s="3" t="s">
        <v>3073</v>
      </c>
      <c r="J763" t="s">
        <v>3836</v>
      </c>
      <c r="K763">
        <v>7</v>
      </c>
      <c r="L763" t="s">
        <v>4292</v>
      </c>
      <c r="M763" s="3" t="s">
        <v>4282</v>
      </c>
      <c r="N763">
        <v>151.04</v>
      </c>
    </row>
    <row r="764" spans="1:14" x14ac:dyDescent="0.35">
      <c r="A764" t="s">
        <v>776</v>
      </c>
      <c r="B764" t="s">
        <v>4813</v>
      </c>
      <c r="C764" t="s">
        <v>1973</v>
      </c>
      <c r="D764" s="3" t="s">
        <v>2404</v>
      </c>
      <c r="E764">
        <v>3</v>
      </c>
      <c r="F764">
        <v>76.959999999999994</v>
      </c>
      <c r="G764" t="s">
        <v>2494</v>
      </c>
      <c r="H764" s="3" t="s">
        <v>3069</v>
      </c>
      <c r="I764" s="3" t="s">
        <v>3072</v>
      </c>
      <c r="J764" t="s">
        <v>3837</v>
      </c>
      <c r="K764">
        <v>8</v>
      </c>
      <c r="L764" t="s">
        <v>4276</v>
      </c>
      <c r="M764" s="3" t="s">
        <v>4280</v>
      </c>
      <c r="N764">
        <v>230.88</v>
      </c>
    </row>
    <row r="765" spans="1:14" x14ac:dyDescent="0.35">
      <c r="A765" t="s">
        <v>777</v>
      </c>
      <c r="B765" t="s">
        <v>4672</v>
      </c>
      <c r="C765" t="s">
        <v>1974</v>
      </c>
      <c r="D765" s="3" t="s">
        <v>2408</v>
      </c>
      <c r="E765">
        <v>1</v>
      </c>
      <c r="F765">
        <v>569.96</v>
      </c>
      <c r="G765" t="s">
        <v>2501</v>
      </c>
      <c r="H765" s="3" t="s">
        <v>3066</v>
      </c>
      <c r="I765" s="3" t="s">
        <v>3073</v>
      </c>
      <c r="J765" t="s">
        <v>3838</v>
      </c>
      <c r="K765">
        <v>4</v>
      </c>
      <c r="L765" t="s">
        <v>4276</v>
      </c>
      <c r="M765" s="3" t="s">
        <v>4280</v>
      </c>
      <c r="N765">
        <v>569.96</v>
      </c>
    </row>
    <row r="766" spans="1:14" x14ac:dyDescent="0.35">
      <c r="A766" t="s">
        <v>778</v>
      </c>
      <c r="B766" t="s">
        <v>4700</v>
      </c>
      <c r="C766" t="s">
        <v>1975</v>
      </c>
      <c r="D766" s="3" t="s">
        <v>2408</v>
      </c>
      <c r="E766">
        <v>5</v>
      </c>
      <c r="F766">
        <v>627.42999999999995</v>
      </c>
      <c r="G766" t="s">
        <v>2565</v>
      </c>
      <c r="H766" s="3" t="s">
        <v>3067</v>
      </c>
      <c r="I766" s="3" t="s">
        <v>3071</v>
      </c>
      <c r="J766" t="s">
        <v>3839</v>
      </c>
      <c r="K766">
        <v>10</v>
      </c>
      <c r="L766" t="s">
        <v>4276</v>
      </c>
      <c r="M766" s="3" t="s">
        <v>4280</v>
      </c>
      <c r="N766">
        <v>3137.15</v>
      </c>
    </row>
    <row r="767" spans="1:14" x14ac:dyDescent="0.35">
      <c r="A767" t="s">
        <v>779</v>
      </c>
      <c r="B767" t="s">
        <v>4710</v>
      </c>
      <c r="C767" t="s">
        <v>1976</v>
      </c>
      <c r="D767" s="3" t="s">
        <v>2408</v>
      </c>
      <c r="E767">
        <v>2</v>
      </c>
      <c r="F767">
        <v>534.91</v>
      </c>
      <c r="G767" t="s">
        <v>2888</v>
      </c>
      <c r="H767" s="3" t="s">
        <v>3065</v>
      </c>
      <c r="I767" s="3" t="s">
        <v>3072</v>
      </c>
      <c r="J767" t="s">
        <v>3840</v>
      </c>
      <c r="K767">
        <v>5</v>
      </c>
      <c r="L767" t="s">
        <v>4275</v>
      </c>
      <c r="M767" s="3" t="s">
        <v>4282</v>
      </c>
      <c r="N767">
        <v>1069.82</v>
      </c>
    </row>
    <row r="768" spans="1:14" x14ac:dyDescent="0.35">
      <c r="A768" t="s">
        <v>780</v>
      </c>
      <c r="B768" t="s">
        <v>4339</v>
      </c>
      <c r="C768" t="s">
        <v>1977</v>
      </c>
      <c r="D768" s="3" t="s">
        <v>2407</v>
      </c>
      <c r="E768">
        <v>2</v>
      </c>
      <c r="F768">
        <v>278.88</v>
      </c>
      <c r="G768" t="s">
        <v>2704</v>
      </c>
      <c r="H768" s="3" t="s">
        <v>3065</v>
      </c>
      <c r="I768" s="3" t="s">
        <v>3074</v>
      </c>
      <c r="J768" t="s">
        <v>3841</v>
      </c>
      <c r="K768">
        <v>3</v>
      </c>
      <c r="L768" t="s">
        <v>4276</v>
      </c>
      <c r="M768" s="3" t="s">
        <v>4279</v>
      </c>
      <c r="N768">
        <v>557.76</v>
      </c>
    </row>
    <row r="769" spans="1:14" x14ac:dyDescent="0.35">
      <c r="A769" t="s">
        <v>781</v>
      </c>
      <c r="B769" t="s">
        <v>4763</v>
      </c>
      <c r="C769" t="s">
        <v>1978</v>
      </c>
      <c r="D769" s="3" t="s">
        <v>2405</v>
      </c>
      <c r="E769">
        <v>2</v>
      </c>
      <c r="F769">
        <v>323.22000000000003</v>
      </c>
      <c r="G769" t="s">
        <v>2912</v>
      </c>
      <c r="H769" s="3" t="s">
        <v>3067</v>
      </c>
      <c r="I769" s="3" t="s">
        <v>3073</v>
      </c>
      <c r="J769" t="s">
        <v>3842</v>
      </c>
      <c r="K769">
        <v>7</v>
      </c>
      <c r="L769" t="s">
        <v>4292</v>
      </c>
      <c r="M769" s="3" t="s">
        <v>4278</v>
      </c>
      <c r="N769">
        <v>646.44000000000005</v>
      </c>
    </row>
    <row r="770" spans="1:14" x14ac:dyDescent="0.35">
      <c r="A770" t="s">
        <v>782</v>
      </c>
      <c r="B770" t="s">
        <v>4639</v>
      </c>
      <c r="C770" t="s">
        <v>1979</v>
      </c>
      <c r="D770" s="3" t="s">
        <v>2405</v>
      </c>
      <c r="E770">
        <v>5</v>
      </c>
      <c r="F770">
        <v>653.46</v>
      </c>
      <c r="G770" t="s">
        <v>2913</v>
      </c>
      <c r="H770" s="3" t="s">
        <v>3069</v>
      </c>
      <c r="I770" s="3" t="s">
        <v>3071</v>
      </c>
      <c r="J770" t="s">
        <v>3843</v>
      </c>
      <c r="K770">
        <v>9</v>
      </c>
      <c r="L770" t="s">
        <v>4277</v>
      </c>
      <c r="M770" s="3" t="s">
        <v>4280</v>
      </c>
      <c r="N770">
        <v>3267.3</v>
      </c>
    </row>
    <row r="771" spans="1:14" x14ac:dyDescent="0.35">
      <c r="A771" t="s">
        <v>783</v>
      </c>
      <c r="B771" t="s">
        <v>4401</v>
      </c>
      <c r="C771" t="s">
        <v>1980</v>
      </c>
      <c r="D771" s="3" t="s">
        <v>2407</v>
      </c>
      <c r="E771">
        <v>4</v>
      </c>
      <c r="F771">
        <v>678.55</v>
      </c>
      <c r="G771" t="s">
        <v>2438</v>
      </c>
      <c r="H771" s="3" t="s">
        <v>3069</v>
      </c>
      <c r="I771" s="3" t="s">
        <v>3073</v>
      </c>
      <c r="J771" t="s">
        <v>3844</v>
      </c>
      <c r="K771">
        <v>5</v>
      </c>
      <c r="L771" t="s">
        <v>4292</v>
      </c>
      <c r="M771" s="3" t="s">
        <v>4280</v>
      </c>
      <c r="N771">
        <v>2714.2</v>
      </c>
    </row>
    <row r="772" spans="1:14" x14ac:dyDescent="0.35">
      <c r="A772" t="s">
        <v>784</v>
      </c>
      <c r="B772" t="s">
        <v>4814</v>
      </c>
      <c r="C772" t="s">
        <v>1981</v>
      </c>
      <c r="D772" s="3" t="s">
        <v>2409</v>
      </c>
      <c r="E772">
        <v>1</v>
      </c>
      <c r="F772">
        <v>314.38</v>
      </c>
      <c r="G772" t="s">
        <v>2757</v>
      </c>
      <c r="H772" s="3" t="s">
        <v>3066</v>
      </c>
      <c r="I772" s="3" t="s">
        <v>3072</v>
      </c>
      <c r="J772" t="s">
        <v>3845</v>
      </c>
      <c r="K772">
        <v>6</v>
      </c>
      <c r="L772" t="s">
        <v>4292</v>
      </c>
      <c r="M772" s="3" t="s">
        <v>4282</v>
      </c>
      <c r="N772">
        <v>314.38</v>
      </c>
    </row>
    <row r="773" spans="1:14" x14ac:dyDescent="0.35">
      <c r="A773" t="s">
        <v>785</v>
      </c>
      <c r="B773" t="s">
        <v>4804</v>
      </c>
      <c r="C773" t="s">
        <v>1982</v>
      </c>
      <c r="D773" s="3" t="s">
        <v>2404</v>
      </c>
      <c r="E773">
        <v>3</v>
      </c>
      <c r="F773">
        <v>692.44</v>
      </c>
      <c r="G773" t="s">
        <v>2724</v>
      </c>
      <c r="H773" s="3" t="s">
        <v>3065</v>
      </c>
      <c r="I773" s="3" t="s">
        <v>3071</v>
      </c>
      <c r="J773" t="s">
        <v>3846</v>
      </c>
      <c r="K773">
        <v>8</v>
      </c>
      <c r="L773" t="s">
        <v>4276</v>
      </c>
      <c r="M773" s="3" t="s">
        <v>4282</v>
      </c>
      <c r="N773">
        <v>2077.3200000000002</v>
      </c>
    </row>
    <row r="774" spans="1:14" x14ac:dyDescent="0.35">
      <c r="A774" t="s">
        <v>786</v>
      </c>
      <c r="B774" t="s">
        <v>4402</v>
      </c>
      <c r="C774" t="s">
        <v>1983</v>
      </c>
      <c r="D774" s="3" t="s">
        <v>2403</v>
      </c>
      <c r="E774">
        <v>1</v>
      </c>
      <c r="F774">
        <v>604.87</v>
      </c>
      <c r="G774" t="s">
        <v>2914</v>
      </c>
      <c r="H774" s="3" t="s">
        <v>3066</v>
      </c>
      <c r="I774" s="3" t="s">
        <v>3073</v>
      </c>
      <c r="J774" t="s">
        <v>3847</v>
      </c>
      <c r="K774">
        <v>4</v>
      </c>
      <c r="L774" t="s">
        <v>4292</v>
      </c>
      <c r="M774" s="3" t="s">
        <v>4278</v>
      </c>
      <c r="N774">
        <v>604.87</v>
      </c>
    </row>
    <row r="775" spans="1:14" x14ac:dyDescent="0.35">
      <c r="A775" t="s">
        <v>787</v>
      </c>
      <c r="B775" t="s">
        <v>4448</v>
      </c>
      <c r="C775" t="s">
        <v>1984</v>
      </c>
      <c r="D775" s="3" t="s">
        <v>2404</v>
      </c>
      <c r="E775">
        <v>2</v>
      </c>
      <c r="F775">
        <v>512.33000000000004</v>
      </c>
      <c r="G775" t="s">
        <v>2915</v>
      </c>
      <c r="H775" s="3" t="s">
        <v>3069</v>
      </c>
      <c r="I775" s="3" t="s">
        <v>3071</v>
      </c>
      <c r="J775" t="s">
        <v>3848</v>
      </c>
      <c r="K775">
        <v>7</v>
      </c>
      <c r="L775" t="s">
        <v>4292</v>
      </c>
      <c r="M775" s="3" t="s">
        <v>4281</v>
      </c>
      <c r="N775">
        <v>1024.6600000000001</v>
      </c>
    </row>
    <row r="776" spans="1:14" x14ac:dyDescent="0.35">
      <c r="A776" t="s">
        <v>788</v>
      </c>
      <c r="B776" t="s">
        <v>4482</v>
      </c>
      <c r="C776" t="s">
        <v>1985</v>
      </c>
      <c r="D776" s="3" t="s">
        <v>2406</v>
      </c>
      <c r="E776">
        <v>3</v>
      </c>
      <c r="F776">
        <v>20.54</v>
      </c>
      <c r="G776" t="s">
        <v>2916</v>
      </c>
      <c r="H776" s="3" t="s">
        <v>3067</v>
      </c>
      <c r="I776" s="3" t="s">
        <v>3071</v>
      </c>
      <c r="J776" t="s">
        <v>3849</v>
      </c>
      <c r="K776">
        <v>3</v>
      </c>
      <c r="L776" t="s">
        <v>4276</v>
      </c>
      <c r="M776" s="3" t="s">
        <v>4278</v>
      </c>
      <c r="N776">
        <v>61.62</v>
      </c>
    </row>
    <row r="777" spans="1:14" x14ac:dyDescent="0.35">
      <c r="A777" t="s">
        <v>789</v>
      </c>
      <c r="B777" t="s">
        <v>4474</v>
      </c>
      <c r="C777" t="s">
        <v>1986</v>
      </c>
      <c r="D777" s="3" t="s">
        <v>2404</v>
      </c>
      <c r="E777">
        <v>2</v>
      </c>
      <c r="F777">
        <v>625.22</v>
      </c>
      <c r="G777" t="s">
        <v>2431</v>
      </c>
      <c r="H777" s="3" t="s">
        <v>3066</v>
      </c>
      <c r="I777" s="3" t="s">
        <v>3071</v>
      </c>
      <c r="J777" t="s">
        <v>3850</v>
      </c>
      <c r="K777">
        <v>5</v>
      </c>
      <c r="L777" t="s">
        <v>4292</v>
      </c>
      <c r="M777" s="3" t="s">
        <v>4282</v>
      </c>
      <c r="N777">
        <v>1250.44</v>
      </c>
    </row>
    <row r="778" spans="1:14" x14ac:dyDescent="0.35">
      <c r="A778" t="s">
        <v>790</v>
      </c>
      <c r="B778" t="s">
        <v>4815</v>
      </c>
      <c r="C778" t="s">
        <v>1987</v>
      </c>
      <c r="D778" s="3" t="s">
        <v>2405</v>
      </c>
      <c r="E778">
        <v>1</v>
      </c>
      <c r="F778">
        <v>21.19</v>
      </c>
      <c r="G778" t="s">
        <v>2917</v>
      </c>
      <c r="H778" s="3" t="s">
        <v>3069</v>
      </c>
      <c r="I778" s="3" t="s">
        <v>3072</v>
      </c>
      <c r="J778" t="s">
        <v>3851</v>
      </c>
      <c r="K778">
        <v>5</v>
      </c>
      <c r="L778" t="s">
        <v>4277</v>
      </c>
      <c r="M778" s="3" t="s">
        <v>4282</v>
      </c>
      <c r="N778">
        <v>21.19</v>
      </c>
    </row>
    <row r="779" spans="1:14" x14ac:dyDescent="0.35">
      <c r="A779" t="s">
        <v>791</v>
      </c>
      <c r="B779" t="s">
        <v>4722</v>
      </c>
      <c r="C779" t="s">
        <v>1988</v>
      </c>
      <c r="D779" s="3" t="s">
        <v>2406</v>
      </c>
      <c r="E779">
        <v>5</v>
      </c>
      <c r="F779">
        <v>64.489999999999995</v>
      </c>
      <c r="G779" t="s">
        <v>2432</v>
      </c>
      <c r="H779" s="3" t="s">
        <v>3066</v>
      </c>
      <c r="I779" s="3" t="s">
        <v>3071</v>
      </c>
      <c r="J779" t="s">
        <v>3852</v>
      </c>
      <c r="K779">
        <v>7</v>
      </c>
      <c r="L779" t="s">
        <v>4292</v>
      </c>
      <c r="M779" s="3" t="s">
        <v>4281</v>
      </c>
      <c r="N779">
        <v>322.45</v>
      </c>
    </row>
    <row r="780" spans="1:14" x14ac:dyDescent="0.35">
      <c r="A780" t="s">
        <v>792</v>
      </c>
      <c r="B780" t="s">
        <v>4484</v>
      </c>
      <c r="C780" t="s">
        <v>1989</v>
      </c>
      <c r="D780" s="3" t="s">
        <v>2408</v>
      </c>
      <c r="E780">
        <v>4</v>
      </c>
      <c r="F780">
        <v>246.85</v>
      </c>
      <c r="G780" t="s">
        <v>2918</v>
      </c>
      <c r="H780" s="3" t="s">
        <v>3067</v>
      </c>
      <c r="I780" s="3" t="s">
        <v>3070</v>
      </c>
      <c r="J780" t="s">
        <v>3853</v>
      </c>
      <c r="K780">
        <v>8</v>
      </c>
      <c r="L780" t="s">
        <v>4277</v>
      </c>
      <c r="M780" s="3" t="s">
        <v>4282</v>
      </c>
      <c r="N780">
        <v>987.4</v>
      </c>
    </row>
    <row r="781" spans="1:14" x14ac:dyDescent="0.35">
      <c r="A781" t="s">
        <v>793</v>
      </c>
      <c r="B781" t="s">
        <v>4426</v>
      </c>
      <c r="C781" t="s">
        <v>1990</v>
      </c>
      <c r="D781" s="3" t="s">
        <v>2404</v>
      </c>
      <c r="E781">
        <v>3</v>
      </c>
      <c r="F781">
        <v>588.74</v>
      </c>
      <c r="G781" t="s">
        <v>2919</v>
      </c>
      <c r="H781" s="3" t="s">
        <v>3065</v>
      </c>
      <c r="I781" s="3" t="s">
        <v>3074</v>
      </c>
      <c r="J781" t="s">
        <v>3854</v>
      </c>
      <c r="K781">
        <v>8</v>
      </c>
      <c r="L781" t="s">
        <v>4276</v>
      </c>
      <c r="M781" s="3" t="s">
        <v>4280</v>
      </c>
      <c r="N781">
        <v>1766.22</v>
      </c>
    </row>
    <row r="782" spans="1:14" x14ac:dyDescent="0.35">
      <c r="A782" t="s">
        <v>794</v>
      </c>
      <c r="B782" t="s">
        <v>4358</v>
      </c>
      <c r="C782" t="s">
        <v>1991</v>
      </c>
      <c r="D782" s="3" t="s">
        <v>2408</v>
      </c>
      <c r="E782">
        <v>4</v>
      </c>
      <c r="F782">
        <v>184.48</v>
      </c>
      <c r="G782" t="s">
        <v>2755</v>
      </c>
      <c r="H782" s="3" t="s">
        <v>3066</v>
      </c>
      <c r="I782" s="3" t="s">
        <v>3071</v>
      </c>
      <c r="J782" t="s">
        <v>3855</v>
      </c>
      <c r="K782">
        <v>4</v>
      </c>
      <c r="L782" t="s">
        <v>4277</v>
      </c>
      <c r="M782" s="3" t="s">
        <v>4282</v>
      </c>
      <c r="N782">
        <v>737.92</v>
      </c>
    </row>
    <row r="783" spans="1:14" x14ac:dyDescent="0.35">
      <c r="A783" t="s">
        <v>795</v>
      </c>
      <c r="B783" t="s">
        <v>4816</v>
      </c>
      <c r="C783" t="s">
        <v>1992</v>
      </c>
      <c r="D783" s="3" t="s">
        <v>2404</v>
      </c>
      <c r="E783">
        <v>5</v>
      </c>
      <c r="F783">
        <v>524.26</v>
      </c>
      <c r="G783" t="s">
        <v>2415</v>
      </c>
      <c r="H783" s="3" t="s">
        <v>3068</v>
      </c>
      <c r="I783" s="3" t="s">
        <v>3073</v>
      </c>
      <c r="J783" t="s">
        <v>3856</v>
      </c>
      <c r="K783">
        <v>5</v>
      </c>
      <c r="L783" t="s">
        <v>4276</v>
      </c>
      <c r="M783" s="3" t="s">
        <v>4279</v>
      </c>
      <c r="N783">
        <v>2621.3000000000002</v>
      </c>
    </row>
    <row r="784" spans="1:14" x14ac:dyDescent="0.35">
      <c r="A784" t="s">
        <v>796</v>
      </c>
      <c r="B784" t="s">
        <v>4817</v>
      </c>
      <c r="C784" t="s">
        <v>1993</v>
      </c>
      <c r="D784" s="3" t="s">
        <v>2403</v>
      </c>
      <c r="E784">
        <v>2</v>
      </c>
      <c r="F784">
        <v>493.63</v>
      </c>
      <c r="G784" t="s">
        <v>2824</v>
      </c>
      <c r="H784" s="3" t="s">
        <v>3066</v>
      </c>
      <c r="I784" s="3" t="s">
        <v>3072</v>
      </c>
      <c r="J784" t="s">
        <v>3857</v>
      </c>
      <c r="K784">
        <v>6</v>
      </c>
      <c r="L784" t="s">
        <v>4275</v>
      </c>
      <c r="M784" s="3" t="s">
        <v>4279</v>
      </c>
      <c r="N784">
        <v>987.26</v>
      </c>
    </row>
    <row r="785" spans="1:14" x14ac:dyDescent="0.35">
      <c r="A785" t="s">
        <v>797</v>
      </c>
      <c r="B785" t="s">
        <v>4818</v>
      </c>
      <c r="C785" t="s">
        <v>1994</v>
      </c>
      <c r="D785" s="3" t="s">
        <v>2407</v>
      </c>
      <c r="E785">
        <v>1</v>
      </c>
      <c r="F785">
        <v>438.34</v>
      </c>
      <c r="G785" t="s">
        <v>2888</v>
      </c>
      <c r="H785" s="3" t="s">
        <v>3068</v>
      </c>
      <c r="I785" s="3" t="s">
        <v>3072</v>
      </c>
      <c r="J785" t="s">
        <v>3858</v>
      </c>
      <c r="K785">
        <v>5</v>
      </c>
      <c r="L785" t="s">
        <v>4276</v>
      </c>
      <c r="M785" s="3" t="s">
        <v>4281</v>
      </c>
      <c r="N785">
        <v>438.34</v>
      </c>
    </row>
    <row r="786" spans="1:14" x14ac:dyDescent="0.35">
      <c r="A786" t="s">
        <v>798</v>
      </c>
      <c r="B786" t="s">
        <v>4819</v>
      </c>
      <c r="C786" t="s">
        <v>1995</v>
      </c>
      <c r="D786" s="3" t="s">
        <v>2408</v>
      </c>
      <c r="E786">
        <v>1</v>
      </c>
      <c r="F786">
        <v>325.81</v>
      </c>
      <c r="G786" t="s">
        <v>2459</v>
      </c>
      <c r="H786" s="3" t="s">
        <v>3067</v>
      </c>
      <c r="I786" s="3" t="s">
        <v>3074</v>
      </c>
      <c r="J786" t="s">
        <v>3859</v>
      </c>
      <c r="K786">
        <v>1</v>
      </c>
      <c r="L786" t="s">
        <v>4277</v>
      </c>
      <c r="M786" s="3" t="s">
        <v>4279</v>
      </c>
      <c r="N786">
        <v>325.81</v>
      </c>
    </row>
    <row r="787" spans="1:14" x14ac:dyDescent="0.35">
      <c r="A787" t="s">
        <v>799</v>
      </c>
      <c r="B787" t="s">
        <v>4820</v>
      </c>
      <c r="C787" t="s">
        <v>1996</v>
      </c>
      <c r="D787" s="3" t="s">
        <v>2406</v>
      </c>
      <c r="E787">
        <v>1</v>
      </c>
      <c r="F787">
        <v>176.1</v>
      </c>
      <c r="G787" t="s">
        <v>2920</v>
      </c>
      <c r="H787" s="3" t="s">
        <v>3067</v>
      </c>
      <c r="I787" s="3" t="s">
        <v>3074</v>
      </c>
      <c r="J787" t="s">
        <v>3860</v>
      </c>
      <c r="K787">
        <v>1</v>
      </c>
      <c r="L787" t="s">
        <v>4275</v>
      </c>
      <c r="M787" s="3" t="s">
        <v>4278</v>
      </c>
      <c r="N787">
        <v>176.1</v>
      </c>
    </row>
    <row r="788" spans="1:14" x14ac:dyDescent="0.35">
      <c r="A788" t="s">
        <v>800</v>
      </c>
      <c r="B788" t="s">
        <v>4705</v>
      </c>
      <c r="C788" t="s">
        <v>1997</v>
      </c>
      <c r="D788" s="3" t="s">
        <v>2406</v>
      </c>
      <c r="E788">
        <v>5</v>
      </c>
      <c r="F788">
        <v>45.31</v>
      </c>
      <c r="G788" t="s">
        <v>2921</v>
      </c>
      <c r="H788" s="3" t="s">
        <v>3066</v>
      </c>
      <c r="I788" s="3" t="s">
        <v>3071</v>
      </c>
      <c r="J788" t="s">
        <v>3861</v>
      </c>
      <c r="K788">
        <v>8</v>
      </c>
      <c r="L788" t="s">
        <v>4292</v>
      </c>
      <c r="M788" s="3" t="s">
        <v>4279</v>
      </c>
      <c r="N788">
        <v>226.55</v>
      </c>
    </row>
    <row r="789" spans="1:14" x14ac:dyDescent="0.35">
      <c r="A789" t="s">
        <v>801</v>
      </c>
      <c r="B789" t="s">
        <v>4821</v>
      </c>
      <c r="C789" t="s">
        <v>1998</v>
      </c>
      <c r="D789" s="3" t="s">
        <v>2409</v>
      </c>
      <c r="E789">
        <v>4</v>
      </c>
      <c r="F789">
        <v>221.96</v>
      </c>
      <c r="G789" t="s">
        <v>2922</v>
      </c>
      <c r="H789" s="3" t="s">
        <v>3069</v>
      </c>
      <c r="I789" s="3" t="s">
        <v>3073</v>
      </c>
      <c r="J789" t="s">
        <v>3862</v>
      </c>
      <c r="K789">
        <v>7</v>
      </c>
      <c r="L789" t="s">
        <v>4292</v>
      </c>
      <c r="M789" s="3" t="s">
        <v>4282</v>
      </c>
      <c r="N789">
        <v>887.84</v>
      </c>
    </row>
    <row r="790" spans="1:14" x14ac:dyDescent="0.35">
      <c r="A790" t="s">
        <v>802</v>
      </c>
      <c r="B790" t="s">
        <v>4492</v>
      </c>
      <c r="C790" t="s">
        <v>1999</v>
      </c>
      <c r="D790" s="3" t="s">
        <v>2406</v>
      </c>
      <c r="E790">
        <v>2</v>
      </c>
      <c r="F790">
        <v>601.42999999999995</v>
      </c>
      <c r="G790" t="s">
        <v>2923</v>
      </c>
      <c r="H790" s="3" t="s">
        <v>3066</v>
      </c>
      <c r="I790" s="3" t="s">
        <v>3074</v>
      </c>
      <c r="J790" t="s">
        <v>3863</v>
      </c>
      <c r="K790">
        <v>5</v>
      </c>
      <c r="L790" t="s">
        <v>4276</v>
      </c>
      <c r="M790" s="3" t="s">
        <v>4278</v>
      </c>
      <c r="N790">
        <v>1202.8599999999999</v>
      </c>
    </row>
    <row r="791" spans="1:14" x14ac:dyDescent="0.35">
      <c r="A791" t="s">
        <v>803</v>
      </c>
      <c r="B791" t="s">
        <v>4822</v>
      </c>
      <c r="C791" t="s">
        <v>2000</v>
      </c>
      <c r="D791" s="3" t="s">
        <v>2405</v>
      </c>
      <c r="E791">
        <v>5</v>
      </c>
      <c r="F791">
        <v>691.28</v>
      </c>
      <c r="G791" t="s">
        <v>2924</v>
      </c>
      <c r="H791" s="3" t="s">
        <v>3066</v>
      </c>
      <c r="I791" s="3" t="s">
        <v>3073</v>
      </c>
      <c r="J791" t="s">
        <v>3864</v>
      </c>
      <c r="K791">
        <v>10</v>
      </c>
      <c r="L791" t="s">
        <v>4275</v>
      </c>
      <c r="M791" s="3" t="s">
        <v>4280</v>
      </c>
      <c r="N791">
        <v>3456.4</v>
      </c>
    </row>
    <row r="792" spans="1:14" x14ac:dyDescent="0.35">
      <c r="A792" t="s">
        <v>804</v>
      </c>
      <c r="B792" t="s">
        <v>4438</v>
      </c>
      <c r="C792" t="s">
        <v>2001</v>
      </c>
      <c r="D792" s="3" t="s">
        <v>2408</v>
      </c>
      <c r="E792">
        <v>4</v>
      </c>
      <c r="F792">
        <v>417.89</v>
      </c>
      <c r="G792" t="s">
        <v>2925</v>
      </c>
      <c r="H792" s="3" t="s">
        <v>3068</v>
      </c>
      <c r="I792" s="3" t="s">
        <v>3074</v>
      </c>
      <c r="J792" t="s">
        <v>3865</v>
      </c>
      <c r="K792">
        <v>4</v>
      </c>
      <c r="L792" t="s">
        <v>4292</v>
      </c>
      <c r="M792" s="3" t="s">
        <v>4282</v>
      </c>
      <c r="N792">
        <v>1671.56</v>
      </c>
    </row>
    <row r="793" spans="1:14" x14ac:dyDescent="0.35">
      <c r="A793" t="s">
        <v>805</v>
      </c>
      <c r="B793" t="s">
        <v>4823</v>
      </c>
      <c r="C793" t="s">
        <v>2002</v>
      </c>
      <c r="D793" s="3" t="s">
        <v>2406</v>
      </c>
      <c r="E793">
        <v>4</v>
      </c>
      <c r="F793">
        <v>409.28</v>
      </c>
      <c r="G793" t="s">
        <v>2434</v>
      </c>
      <c r="H793" s="3" t="s">
        <v>3069</v>
      </c>
      <c r="I793" s="3" t="s">
        <v>3074</v>
      </c>
      <c r="J793" t="s">
        <v>3866</v>
      </c>
      <c r="K793">
        <v>8</v>
      </c>
      <c r="L793" t="s">
        <v>4292</v>
      </c>
      <c r="M793" s="3" t="s">
        <v>4280</v>
      </c>
      <c r="N793">
        <v>1637.12</v>
      </c>
    </row>
    <row r="794" spans="1:14" x14ac:dyDescent="0.35">
      <c r="A794" t="s">
        <v>806</v>
      </c>
      <c r="B794" t="s">
        <v>4663</v>
      </c>
      <c r="C794" t="s">
        <v>2003</v>
      </c>
      <c r="D794" s="3" t="s">
        <v>2409</v>
      </c>
      <c r="E794">
        <v>2</v>
      </c>
      <c r="F794">
        <v>356.35</v>
      </c>
      <c r="G794" t="s">
        <v>2926</v>
      </c>
      <c r="H794" s="3" t="s">
        <v>3065</v>
      </c>
      <c r="I794" s="3" t="s">
        <v>3072</v>
      </c>
      <c r="J794" t="s">
        <v>3867</v>
      </c>
      <c r="K794">
        <v>6</v>
      </c>
      <c r="L794" t="s">
        <v>4277</v>
      </c>
      <c r="M794" s="3" t="s">
        <v>4281</v>
      </c>
      <c r="N794">
        <v>712.7</v>
      </c>
    </row>
    <row r="795" spans="1:14" x14ac:dyDescent="0.35">
      <c r="A795" t="s">
        <v>807</v>
      </c>
      <c r="B795" t="s">
        <v>4400</v>
      </c>
      <c r="C795" t="s">
        <v>2004</v>
      </c>
      <c r="D795" s="3" t="s">
        <v>2406</v>
      </c>
      <c r="E795">
        <v>5</v>
      </c>
      <c r="F795">
        <v>170.22</v>
      </c>
      <c r="G795" t="s">
        <v>2745</v>
      </c>
      <c r="H795" s="3" t="s">
        <v>3065</v>
      </c>
      <c r="I795" s="3" t="s">
        <v>3073</v>
      </c>
      <c r="J795" t="s">
        <v>3868</v>
      </c>
      <c r="K795">
        <v>8</v>
      </c>
      <c r="L795" t="s">
        <v>4292</v>
      </c>
      <c r="M795" s="3" t="s">
        <v>4279</v>
      </c>
      <c r="N795">
        <v>851.1</v>
      </c>
    </row>
    <row r="796" spans="1:14" x14ac:dyDescent="0.35">
      <c r="A796" t="s">
        <v>808</v>
      </c>
      <c r="B796" t="s">
        <v>4622</v>
      </c>
      <c r="C796" t="s">
        <v>2005</v>
      </c>
      <c r="D796" s="3" t="s">
        <v>2407</v>
      </c>
      <c r="E796">
        <v>4</v>
      </c>
      <c r="F796">
        <v>384.85</v>
      </c>
      <c r="G796" t="s">
        <v>2927</v>
      </c>
      <c r="H796" s="3" t="s">
        <v>3066</v>
      </c>
      <c r="I796" s="3" t="s">
        <v>3073</v>
      </c>
      <c r="J796" t="s">
        <v>3869</v>
      </c>
      <c r="K796">
        <v>9</v>
      </c>
      <c r="L796" t="s">
        <v>4276</v>
      </c>
      <c r="M796" s="3" t="s">
        <v>4278</v>
      </c>
      <c r="N796">
        <v>1539.4</v>
      </c>
    </row>
    <row r="797" spans="1:14" x14ac:dyDescent="0.35">
      <c r="A797" t="s">
        <v>809</v>
      </c>
      <c r="B797" t="s">
        <v>4824</v>
      </c>
      <c r="C797" t="s">
        <v>2006</v>
      </c>
      <c r="D797" s="3" t="s">
        <v>2408</v>
      </c>
      <c r="E797">
        <v>4</v>
      </c>
      <c r="F797">
        <v>115.77</v>
      </c>
      <c r="G797" t="s">
        <v>2928</v>
      </c>
      <c r="H797" s="3" t="s">
        <v>3066</v>
      </c>
      <c r="I797" s="3" t="s">
        <v>3074</v>
      </c>
      <c r="J797" t="s">
        <v>3870</v>
      </c>
      <c r="K797">
        <v>7</v>
      </c>
      <c r="L797" t="s">
        <v>4275</v>
      </c>
      <c r="M797" s="3" t="s">
        <v>4278</v>
      </c>
      <c r="N797">
        <v>463.08</v>
      </c>
    </row>
    <row r="798" spans="1:14" x14ac:dyDescent="0.35">
      <c r="A798" t="s">
        <v>810</v>
      </c>
      <c r="B798" t="s">
        <v>4825</v>
      </c>
      <c r="C798" t="s">
        <v>2007</v>
      </c>
      <c r="D798" s="3" t="s">
        <v>2404</v>
      </c>
      <c r="E798">
        <v>3</v>
      </c>
      <c r="F798">
        <v>579.54999999999995</v>
      </c>
      <c r="G798" t="s">
        <v>2599</v>
      </c>
      <c r="H798" s="3" t="s">
        <v>3068</v>
      </c>
      <c r="I798" s="3" t="s">
        <v>3072</v>
      </c>
      <c r="J798" t="s">
        <v>3871</v>
      </c>
      <c r="K798">
        <v>8</v>
      </c>
      <c r="L798" t="s">
        <v>4277</v>
      </c>
      <c r="M798" s="3" t="s">
        <v>4281</v>
      </c>
      <c r="N798">
        <v>1738.65</v>
      </c>
    </row>
    <row r="799" spans="1:14" x14ac:dyDescent="0.35">
      <c r="A799" t="s">
        <v>811</v>
      </c>
      <c r="B799" t="s">
        <v>4430</v>
      </c>
      <c r="C799" t="s">
        <v>2008</v>
      </c>
      <c r="D799" s="3" t="s">
        <v>2408</v>
      </c>
      <c r="E799">
        <v>2</v>
      </c>
      <c r="F799">
        <v>438.76</v>
      </c>
      <c r="G799" t="s">
        <v>2929</v>
      </c>
      <c r="H799" s="3" t="s">
        <v>3065</v>
      </c>
      <c r="I799" s="3" t="s">
        <v>3072</v>
      </c>
      <c r="J799" t="s">
        <v>3872</v>
      </c>
      <c r="K799">
        <v>2</v>
      </c>
      <c r="L799" t="s">
        <v>4292</v>
      </c>
      <c r="M799" s="3" t="s">
        <v>4281</v>
      </c>
      <c r="N799">
        <v>877.52</v>
      </c>
    </row>
    <row r="800" spans="1:14" x14ac:dyDescent="0.35">
      <c r="A800" t="s">
        <v>812</v>
      </c>
      <c r="B800" t="s">
        <v>4826</v>
      </c>
      <c r="C800" t="s">
        <v>2009</v>
      </c>
      <c r="D800" s="3" t="s">
        <v>2404</v>
      </c>
      <c r="E800">
        <v>5</v>
      </c>
      <c r="F800">
        <v>488.35</v>
      </c>
      <c r="G800" t="s">
        <v>2672</v>
      </c>
      <c r="H800" s="3" t="s">
        <v>3065</v>
      </c>
      <c r="I800" s="3" t="s">
        <v>3072</v>
      </c>
      <c r="J800" t="s">
        <v>3873</v>
      </c>
      <c r="K800">
        <v>9</v>
      </c>
      <c r="L800" t="s">
        <v>4276</v>
      </c>
      <c r="M800" s="3" t="s">
        <v>4280</v>
      </c>
      <c r="N800">
        <v>2441.75</v>
      </c>
    </row>
    <row r="801" spans="1:14" x14ac:dyDescent="0.35">
      <c r="A801" t="s">
        <v>813</v>
      </c>
      <c r="B801" t="s">
        <v>4681</v>
      </c>
      <c r="C801" t="s">
        <v>2010</v>
      </c>
      <c r="D801" s="3" t="s">
        <v>2408</v>
      </c>
      <c r="E801">
        <v>4</v>
      </c>
      <c r="F801">
        <v>328.56</v>
      </c>
      <c r="G801" t="s">
        <v>2638</v>
      </c>
      <c r="H801" s="3" t="s">
        <v>3065</v>
      </c>
      <c r="I801" s="3" t="s">
        <v>3072</v>
      </c>
      <c r="J801" t="s">
        <v>3874</v>
      </c>
      <c r="K801">
        <v>4</v>
      </c>
      <c r="L801" t="s">
        <v>4276</v>
      </c>
      <c r="M801" s="3" t="s">
        <v>4280</v>
      </c>
      <c r="N801">
        <v>1314.24</v>
      </c>
    </row>
    <row r="802" spans="1:14" x14ac:dyDescent="0.35">
      <c r="A802" t="s">
        <v>814</v>
      </c>
      <c r="B802" t="s">
        <v>4494</v>
      </c>
      <c r="C802" t="s">
        <v>2011</v>
      </c>
      <c r="D802" s="3" t="s">
        <v>2405</v>
      </c>
      <c r="E802">
        <v>1</v>
      </c>
      <c r="F802">
        <v>68.39</v>
      </c>
      <c r="G802" t="s">
        <v>2930</v>
      </c>
      <c r="H802" s="3" t="s">
        <v>3066</v>
      </c>
      <c r="I802" s="3" t="s">
        <v>3072</v>
      </c>
      <c r="J802" t="s">
        <v>3875</v>
      </c>
      <c r="K802">
        <v>3</v>
      </c>
      <c r="L802" t="s">
        <v>4277</v>
      </c>
      <c r="M802" s="3" t="s">
        <v>4281</v>
      </c>
      <c r="N802">
        <v>68.39</v>
      </c>
    </row>
    <row r="803" spans="1:14" x14ac:dyDescent="0.35">
      <c r="A803" t="s">
        <v>815</v>
      </c>
      <c r="B803" t="s">
        <v>4355</v>
      </c>
      <c r="C803" t="s">
        <v>1241</v>
      </c>
      <c r="D803" s="3" t="s">
        <v>2407</v>
      </c>
      <c r="E803">
        <v>4</v>
      </c>
      <c r="F803">
        <v>595.62</v>
      </c>
      <c r="G803" t="s">
        <v>2931</v>
      </c>
      <c r="H803" s="3" t="s">
        <v>3065</v>
      </c>
      <c r="I803" s="3" t="s">
        <v>3074</v>
      </c>
      <c r="J803" t="s">
        <v>3876</v>
      </c>
      <c r="K803">
        <v>8</v>
      </c>
      <c r="L803" t="s">
        <v>4276</v>
      </c>
      <c r="M803" s="3" t="s">
        <v>4281</v>
      </c>
      <c r="N803">
        <v>2382.48</v>
      </c>
    </row>
    <row r="804" spans="1:14" x14ac:dyDescent="0.35">
      <c r="A804" t="s">
        <v>816</v>
      </c>
      <c r="B804" t="s">
        <v>4295</v>
      </c>
      <c r="C804" t="s">
        <v>2012</v>
      </c>
      <c r="D804" s="3" t="s">
        <v>2406</v>
      </c>
      <c r="E804">
        <v>5</v>
      </c>
      <c r="F804">
        <v>644.64</v>
      </c>
      <c r="G804" t="s">
        <v>2932</v>
      </c>
      <c r="H804" s="3" t="s">
        <v>3068</v>
      </c>
      <c r="I804" s="3" t="s">
        <v>3071</v>
      </c>
      <c r="J804" t="s">
        <v>3877</v>
      </c>
      <c r="K804">
        <v>6</v>
      </c>
      <c r="L804" t="s">
        <v>4276</v>
      </c>
      <c r="M804" s="3" t="s">
        <v>4280</v>
      </c>
      <c r="N804">
        <v>3223.2</v>
      </c>
    </row>
    <row r="805" spans="1:14" x14ac:dyDescent="0.35">
      <c r="A805" t="s">
        <v>817</v>
      </c>
      <c r="B805" t="s">
        <v>4322</v>
      </c>
      <c r="C805" t="s">
        <v>2013</v>
      </c>
      <c r="D805" s="3" t="s">
        <v>2403</v>
      </c>
      <c r="E805">
        <v>5</v>
      </c>
      <c r="F805">
        <v>397.81</v>
      </c>
      <c r="G805" t="s">
        <v>2454</v>
      </c>
      <c r="H805" s="3" t="s">
        <v>3065</v>
      </c>
      <c r="I805" s="3" t="s">
        <v>3072</v>
      </c>
      <c r="J805" t="s">
        <v>3878</v>
      </c>
      <c r="K805">
        <v>5</v>
      </c>
      <c r="L805" t="s">
        <v>4275</v>
      </c>
      <c r="M805" s="3" t="s">
        <v>4279</v>
      </c>
      <c r="N805">
        <v>1989.05</v>
      </c>
    </row>
    <row r="806" spans="1:14" x14ac:dyDescent="0.35">
      <c r="A806" t="s">
        <v>818</v>
      </c>
      <c r="B806" t="s">
        <v>4827</v>
      </c>
      <c r="C806" t="s">
        <v>2014</v>
      </c>
      <c r="D806" s="3" t="s">
        <v>2406</v>
      </c>
      <c r="E806">
        <v>3</v>
      </c>
      <c r="F806">
        <v>236.5</v>
      </c>
      <c r="G806" t="s">
        <v>2933</v>
      </c>
      <c r="H806" s="3" t="s">
        <v>3066</v>
      </c>
      <c r="I806" s="3" t="s">
        <v>3073</v>
      </c>
      <c r="J806" t="s">
        <v>3879</v>
      </c>
      <c r="K806">
        <v>8</v>
      </c>
      <c r="L806" t="s">
        <v>4276</v>
      </c>
      <c r="M806" s="3" t="s">
        <v>4280</v>
      </c>
      <c r="N806">
        <v>709.5</v>
      </c>
    </row>
    <row r="807" spans="1:14" x14ac:dyDescent="0.35">
      <c r="A807" t="s">
        <v>819</v>
      </c>
      <c r="B807" t="s">
        <v>4296</v>
      </c>
      <c r="C807" t="s">
        <v>2015</v>
      </c>
      <c r="D807" s="3" t="s">
        <v>2408</v>
      </c>
      <c r="E807">
        <v>5</v>
      </c>
      <c r="F807">
        <v>472.01</v>
      </c>
      <c r="G807" t="s">
        <v>2934</v>
      </c>
      <c r="H807" s="3" t="s">
        <v>3068</v>
      </c>
      <c r="I807" s="3" t="s">
        <v>3071</v>
      </c>
      <c r="J807" t="s">
        <v>3880</v>
      </c>
      <c r="K807">
        <v>10</v>
      </c>
      <c r="L807" t="s">
        <v>4275</v>
      </c>
      <c r="M807" s="3" t="s">
        <v>4280</v>
      </c>
      <c r="N807">
        <v>2360.0500000000002</v>
      </c>
    </row>
    <row r="808" spans="1:14" x14ac:dyDescent="0.35">
      <c r="A808" t="s">
        <v>820</v>
      </c>
      <c r="B808" t="s">
        <v>4828</v>
      </c>
      <c r="C808" t="s">
        <v>2016</v>
      </c>
      <c r="D808" s="3" t="s">
        <v>2406</v>
      </c>
      <c r="E808">
        <v>5</v>
      </c>
      <c r="F808">
        <v>253.75</v>
      </c>
      <c r="G808" t="s">
        <v>2650</v>
      </c>
      <c r="H808" s="3" t="s">
        <v>3066</v>
      </c>
      <c r="I808" s="3" t="s">
        <v>3074</v>
      </c>
      <c r="J808" t="s">
        <v>3881</v>
      </c>
      <c r="K808">
        <v>9</v>
      </c>
      <c r="L808" t="s">
        <v>4277</v>
      </c>
      <c r="M808" s="3" t="s">
        <v>4278</v>
      </c>
      <c r="N808">
        <v>1268.75</v>
      </c>
    </row>
    <row r="809" spans="1:14" x14ac:dyDescent="0.35">
      <c r="A809" t="s">
        <v>821</v>
      </c>
      <c r="B809" t="s">
        <v>4621</v>
      </c>
      <c r="C809" t="s">
        <v>2017</v>
      </c>
      <c r="D809" s="3" t="s">
        <v>2403</v>
      </c>
      <c r="E809">
        <v>3</v>
      </c>
      <c r="F809">
        <v>676.21</v>
      </c>
      <c r="G809" t="s">
        <v>2935</v>
      </c>
      <c r="H809" s="3" t="s">
        <v>3066</v>
      </c>
      <c r="I809" s="3" t="s">
        <v>3073</v>
      </c>
      <c r="J809" t="s">
        <v>3882</v>
      </c>
      <c r="K809">
        <v>5</v>
      </c>
      <c r="L809" t="s">
        <v>4275</v>
      </c>
      <c r="M809" s="3" t="s">
        <v>4282</v>
      </c>
      <c r="N809">
        <v>2028.63</v>
      </c>
    </row>
    <row r="810" spans="1:14" x14ac:dyDescent="0.35">
      <c r="A810" t="s">
        <v>822</v>
      </c>
      <c r="B810" t="s">
        <v>4829</v>
      </c>
      <c r="C810" t="s">
        <v>2018</v>
      </c>
      <c r="D810" s="3" t="s">
        <v>2409</v>
      </c>
      <c r="E810">
        <v>3</v>
      </c>
      <c r="F810">
        <v>134.05000000000001</v>
      </c>
      <c r="G810" t="s">
        <v>2936</v>
      </c>
      <c r="H810" s="3" t="s">
        <v>3067</v>
      </c>
      <c r="I810" s="3" t="s">
        <v>3070</v>
      </c>
      <c r="J810" t="s">
        <v>3883</v>
      </c>
      <c r="K810">
        <v>3</v>
      </c>
      <c r="L810" t="s">
        <v>4292</v>
      </c>
      <c r="M810" s="3" t="s">
        <v>4282</v>
      </c>
      <c r="N810">
        <v>402.15</v>
      </c>
    </row>
    <row r="811" spans="1:14" x14ac:dyDescent="0.35">
      <c r="A811" t="s">
        <v>823</v>
      </c>
      <c r="B811" t="s">
        <v>4682</v>
      </c>
      <c r="C811" t="s">
        <v>2019</v>
      </c>
      <c r="D811" s="3" t="s">
        <v>2409</v>
      </c>
      <c r="E811">
        <v>5</v>
      </c>
      <c r="F811">
        <v>217.43</v>
      </c>
      <c r="G811" t="s">
        <v>2470</v>
      </c>
      <c r="H811" s="3" t="s">
        <v>3065</v>
      </c>
      <c r="I811" s="3" t="s">
        <v>3070</v>
      </c>
      <c r="J811" t="s">
        <v>3884</v>
      </c>
      <c r="K811">
        <v>10</v>
      </c>
      <c r="L811" t="s">
        <v>4275</v>
      </c>
      <c r="M811" s="3" t="s">
        <v>4278</v>
      </c>
      <c r="N811">
        <v>1087.1500000000001</v>
      </c>
    </row>
    <row r="812" spans="1:14" x14ac:dyDescent="0.35">
      <c r="A812" t="s">
        <v>824</v>
      </c>
      <c r="B812" t="s">
        <v>4830</v>
      </c>
      <c r="C812" t="s">
        <v>2020</v>
      </c>
      <c r="D812" s="3" t="s">
        <v>2405</v>
      </c>
      <c r="E812">
        <v>1</v>
      </c>
      <c r="F812">
        <v>553.55999999999995</v>
      </c>
      <c r="G812" t="s">
        <v>2937</v>
      </c>
      <c r="H812" s="3" t="s">
        <v>3067</v>
      </c>
      <c r="I812" s="3" t="s">
        <v>3071</v>
      </c>
      <c r="J812" t="s">
        <v>3885</v>
      </c>
      <c r="K812">
        <v>5</v>
      </c>
      <c r="L812" t="s">
        <v>4292</v>
      </c>
      <c r="M812" s="3" t="s">
        <v>4279</v>
      </c>
      <c r="N812">
        <v>553.55999999999995</v>
      </c>
    </row>
    <row r="813" spans="1:14" x14ac:dyDescent="0.35">
      <c r="A813" t="s">
        <v>825</v>
      </c>
      <c r="B813" t="s">
        <v>4496</v>
      </c>
      <c r="C813" t="s">
        <v>2021</v>
      </c>
      <c r="D813" s="3" t="s">
        <v>2408</v>
      </c>
      <c r="E813">
        <v>2</v>
      </c>
      <c r="F813">
        <v>28.55</v>
      </c>
      <c r="G813" t="s">
        <v>2907</v>
      </c>
      <c r="H813" s="3" t="s">
        <v>3068</v>
      </c>
      <c r="I813" s="3" t="s">
        <v>3070</v>
      </c>
      <c r="J813" t="s">
        <v>3886</v>
      </c>
      <c r="K813">
        <v>7</v>
      </c>
      <c r="L813" t="s">
        <v>4275</v>
      </c>
      <c r="M813" s="3" t="s">
        <v>4280</v>
      </c>
      <c r="N813">
        <v>57.1</v>
      </c>
    </row>
    <row r="814" spans="1:14" x14ac:dyDescent="0.35">
      <c r="A814" t="s">
        <v>826</v>
      </c>
      <c r="B814" t="s">
        <v>4831</v>
      </c>
      <c r="C814" t="s">
        <v>2022</v>
      </c>
      <c r="D814" s="3" t="s">
        <v>2404</v>
      </c>
      <c r="E814">
        <v>2</v>
      </c>
      <c r="F814">
        <v>255.26</v>
      </c>
      <c r="G814" t="s">
        <v>2638</v>
      </c>
      <c r="H814" s="3" t="s">
        <v>3067</v>
      </c>
      <c r="I814" s="3" t="s">
        <v>3071</v>
      </c>
      <c r="J814" t="s">
        <v>3887</v>
      </c>
      <c r="K814">
        <v>6</v>
      </c>
      <c r="L814" t="s">
        <v>4276</v>
      </c>
      <c r="M814" s="3" t="s">
        <v>4282</v>
      </c>
      <c r="N814">
        <v>510.52</v>
      </c>
    </row>
    <row r="815" spans="1:14" x14ac:dyDescent="0.35">
      <c r="A815" t="s">
        <v>827</v>
      </c>
      <c r="B815" t="s">
        <v>4459</v>
      </c>
      <c r="C815" t="s">
        <v>2023</v>
      </c>
      <c r="D815" s="3" t="s">
        <v>2408</v>
      </c>
      <c r="E815">
        <v>5</v>
      </c>
      <c r="F815">
        <v>292.54000000000002</v>
      </c>
      <c r="G815" t="s">
        <v>2649</v>
      </c>
      <c r="H815" s="3" t="s">
        <v>3065</v>
      </c>
      <c r="I815" s="3" t="s">
        <v>3071</v>
      </c>
      <c r="J815" t="s">
        <v>3888</v>
      </c>
      <c r="K815">
        <v>8</v>
      </c>
      <c r="L815" t="s">
        <v>4276</v>
      </c>
      <c r="M815" s="3" t="s">
        <v>4280</v>
      </c>
      <c r="N815">
        <v>1462.7</v>
      </c>
    </row>
    <row r="816" spans="1:14" x14ac:dyDescent="0.35">
      <c r="A816" t="s">
        <v>828</v>
      </c>
      <c r="B816" t="s">
        <v>4502</v>
      </c>
      <c r="C816" t="s">
        <v>2024</v>
      </c>
      <c r="D816" s="3" t="s">
        <v>2406</v>
      </c>
      <c r="E816">
        <v>4</v>
      </c>
      <c r="F816">
        <v>147.51</v>
      </c>
      <c r="G816" t="s">
        <v>2938</v>
      </c>
      <c r="H816" s="3" t="s">
        <v>3065</v>
      </c>
      <c r="I816" s="3" t="s">
        <v>3074</v>
      </c>
      <c r="J816" t="s">
        <v>3889</v>
      </c>
      <c r="K816">
        <v>4</v>
      </c>
      <c r="L816" t="s">
        <v>4277</v>
      </c>
      <c r="M816" s="3" t="s">
        <v>4278</v>
      </c>
      <c r="N816">
        <v>590.04</v>
      </c>
    </row>
    <row r="817" spans="1:14" x14ac:dyDescent="0.35">
      <c r="A817" t="s">
        <v>829</v>
      </c>
      <c r="B817" t="s">
        <v>4832</v>
      </c>
      <c r="C817" t="s">
        <v>2025</v>
      </c>
      <c r="D817" s="3" t="s">
        <v>2407</v>
      </c>
      <c r="E817">
        <v>3</v>
      </c>
      <c r="F817">
        <v>569.84</v>
      </c>
      <c r="G817" t="s">
        <v>2939</v>
      </c>
      <c r="H817" s="3" t="s">
        <v>3068</v>
      </c>
      <c r="I817" s="3" t="s">
        <v>3071</v>
      </c>
      <c r="J817" t="s">
        <v>3890</v>
      </c>
      <c r="K817">
        <v>8</v>
      </c>
      <c r="L817" t="s">
        <v>4277</v>
      </c>
      <c r="M817" s="3" t="s">
        <v>4278</v>
      </c>
      <c r="N817">
        <v>1709.52</v>
      </c>
    </row>
    <row r="818" spans="1:14" x14ac:dyDescent="0.35">
      <c r="A818" t="s">
        <v>830</v>
      </c>
      <c r="B818" t="s">
        <v>4728</v>
      </c>
      <c r="C818" t="s">
        <v>2026</v>
      </c>
      <c r="D818" s="3" t="s">
        <v>2405</v>
      </c>
      <c r="E818">
        <v>5</v>
      </c>
      <c r="F818">
        <v>574.79</v>
      </c>
      <c r="G818" t="s">
        <v>2601</v>
      </c>
      <c r="H818" s="3" t="s">
        <v>3067</v>
      </c>
      <c r="I818" s="3" t="s">
        <v>3074</v>
      </c>
      <c r="J818" t="s">
        <v>3891</v>
      </c>
      <c r="K818">
        <v>8</v>
      </c>
      <c r="L818" t="s">
        <v>4277</v>
      </c>
      <c r="M818" s="3" t="s">
        <v>4279</v>
      </c>
      <c r="N818">
        <v>2873.95</v>
      </c>
    </row>
    <row r="819" spans="1:14" x14ac:dyDescent="0.35">
      <c r="A819" t="s">
        <v>831</v>
      </c>
      <c r="B819" t="s">
        <v>4753</v>
      </c>
      <c r="C819" t="s">
        <v>2027</v>
      </c>
      <c r="D819" s="3" t="s">
        <v>2406</v>
      </c>
      <c r="E819">
        <v>4</v>
      </c>
      <c r="F819">
        <v>598.19000000000005</v>
      </c>
      <c r="G819" t="s">
        <v>2940</v>
      </c>
      <c r="H819" s="3" t="s">
        <v>3067</v>
      </c>
      <c r="I819" s="3" t="s">
        <v>3073</v>
      </c>
      <c r="J819" t="s">
        <v>3892</v>
      </c>
      <c r="K819">
        <v>7</v>
      </c>
      <c r="L819" t="s">
        <v>4277</v>
      </c>
      <c r="M819" s="3" t="s">
        <v>4280</v>
      </c>
      <c r="N819">
        <v>2392.7600000000002</v>
      </c>
    </row>
    <row r="820" spans="1:14" x14ac:dyDescent="0.35">
      <c r="A820" t="s">
        <v>832</v>
      </c>
      <c r="B820" t="s">
        <v>4805</v>
      </c>
      <c r="C820" t="s">
        <v>2028</v>
      </c>
      <c r="D820" s="3" t="s">
        <v>2404</v>
      </c>
      <c r="E820">
        <v>4</v>
      </c>
      <c r="F820">
        <v>390.84</v>
      </c>
      <c r="G820" t="s">
        <v>2868</v>
      </c>
      <c r="H820" s="3" t="s">
        <v>3067</v>
      </c>
      <c r="I820" s="3" t="s">
        <v>3071</v>
      </c>
      <c r="J820" t="s">
        <v>3893</v>
      </c>
      <c r="K820">
        <v>9</v>
      </c>
      <c r="L820" t="s">
        <v>4277</v>
      </c>
      <c r="M820" s="3" t="s">
        <v>4279</v>
      </c>
      <c r="N820">
        <v>1563.36</v>
      </c>
    </row>
    <row r="821" spans="1:14" x14ac:dyDescent="0.35">
      <c r="A821" t="s">
        <v>833</v>
      </c>
      <c r="B821" t="s">
        <v>4619</v>
      </c>
      <c r="C821" t="s">
        <v>2029</v>
      </c>
      <c r="D821" s="3" t="s">
        <v>2404</v>
      </c>
      <c r="E821">
        <v>2</v>
      </c>
      <c r="F821">
        <v>398.45</v>
      </c>
      <c r="G821" t="s">
        <v>2941</v>
      </c>
      <c r="H821" s="3" t="s">
        <v>3065</v>
      </c>
      <c r="I821" s="3" t="s">
        <v>3071</v>
      </c>
      <c r="J821" t="s">
        <v>3894</v>
      </c>
      <c r="K821">
        <v>7</v>
      </c>
      <c r="L821" t="s">
        <v>4275</v>
      </c>
      <c r="M821" s="3" t="s">
        <v>4282</v>
      </c>
      <c r="N821">
        <v>796.9</v>
      </c>
    </row>
    <row r="822" spans="1:14" x14ac:dyDescent="0.35">
      <c r="A822" t="s">
        <v>834</v>
      </c>
      <c r="B822" t="s">
        <v>4440</v>
      </c>
      <c r="C822" t="s">
        <v>2030</v>
      </c>
      <c r="D822" s="3" t="s">
        <v>2404</v>
      </c>
      <c r="E822">
        <v>5</v>
      </c>
      <c r="F822">
        <v>623.80999999999995</v>
      </c>
      <c r="G822" t="s">
        <v>2706</v>
      </c>
      <c r="H822" s="3" t="s">
        <v>3069</v>
      </c>
      <c r="I822" s="3" t="s">
        <v>3072</v>
      </c>
      <c r="J822" t="s">
        <v>3895</v>
      </c>
      <c r="K822">
        <v>6</v>
      </c>
      <c r="L822" t="s">
        <v>4276</v>
      </c>
      <c r="M822" s="3" t="s">
        <v>4280</v>
      </c>
      <c r="N822">
        <v>3119.05</v>
      </c>
    </row>
    <row r="823" spans="1:14" x14ac:dyDescent="0.35">
      <c r="A823" t="s">
        <v>835</v>
      </c>
      <c r="B823" t="s">
        <v>4833</v>
      </c>
      <c r="C823" t="s">
        <v>2031</v>
      </c>
      <c r="D823" s="3" t="s">
        <v>2408</v>
      </c>
      <c r="E823">
        <v>4</v>
      </c>
      <c r="F823">
        <v>174.49</v>
      </c>
      <c r="G823" t="s">
        <v>2698</v>
      </c>
      <c r="H823" s="3" t="s">
        <v>3067</v>
      </c>
      <c r="I823" s="3" t="s">
        <v>3073</v>
      </c>
      <c r="J823" t="s">
        <v>3896</v>
      </c>
      <c r="K823">
        <v>5</v>
      </c>
      <c r="L823" t="s">
        <v>4275</v>
      </c>
      <c r="M823" s="3" t="s">
        <v>4281</v>
      </c>
      <c r="N823">
        <v>697.96</v>
      </c>
    </row>
    <row r="824" spans="1:14" x14ac:dyDescent="0.35">
      <c r="A824" t="s">
        <v>836</v>
      </c>
      <c r="B824" t="s">
        <v>4459</v>
      </c>
      <c r="C824" t="s">
        <v>2032</v>
      </c>
      <c r="D824" s="3" t="s">
        <v>2404</v>
      </c>
      <c r="E824">
        <v>1</v>
      </c>
      <c r="F824">
        <v>479.56</v>
      </c>
      <c r="G824" t="s">
        <v>2476</v>
      </c>
      <c r="H824" s="3" t="s">
        <v>3068</v>
      </c>
      <c r="I824" s="3" t="s">
        <v>3072</v>
      </c>
      <c r="J824" t="s">
        <v>3897</v>
      </c>
      <c r="K824">
        <v>1</v>
      </c>
      <c r="L824" t="s">
        <v>4275</v>
      </c>
      <c r="M824" s="3" t="s">
        <v>4282</v>
      </c>
      <c r="N824">
        <v>479.56</v>
      </c>
    </row>
    <row r="825" spans="1:14" x14ac:dyDescent="0.35">
      <c r="A825" t="s">
        <v>837</v>
      </c>
      <c r="B825" t="s">
        <v>4834</v>
      </c>
      <c r="C825" t="s">
        <v>2033</v>
      </c>
      <c r="D825" s="3" t="s">
        <v>2408</v>
      </c>
      <c r="E825">
        <v>4</v>
      </c>
      <c r="F825">
        <v>653.13</v>
      </c>
      <c r="G825" t="s">
        <v>2942</v>
      </c>
      <c r="H825" s="3" t="s">
        <v>3067</v>
      </c>
      <c r="I825" s="3" t="s">
        <v>3070</v>
      </c>
      <c r="J825" t="s">
        <v>3898</v>
      </c>
      <c r="K825">
        <v>8</v>
      </c>
      <c r="L825" t="s">
        <v>4277</v>
      </c>
      <c r="M825" s="3" t="s">
        <v>4278</v>
      </c>
      <c r="N825">
        <v>2612.52</v>
      </c>
    </row>
    <row r="826" spans="1:14" x14ac:dyDescent="0.35">
      <c r="A826" t="s">
        <v>838</v>
      </c>
      <c r="B826" t="s">
        <v>4477</v>
      </c>
      <c r="C826" t="s">
        <v>2034</v>
      </c>
      <c r="D826" s="3" t="s">
        <v>2403</v>
      </c>
      <c r="E826">
        <v>3</v>
      </c>
      <c r="F826">
        <v>481.1</v>
      </c>
      <c r="G826" t="s">
        <v>2943</v>
      </c>
      <c r="H826" s="3" t="s">
        <v>3067</v>
      </c>
      <c r="I826" s="3" t="s">
        <v>3072</v>
      </c>
      <c r="J826" t="s">
        <v>3899</v>
      </c>
      <c r="K826">
        <v>3</v>
      </c>
      <c r="L826" t="s">
        <v>4276</v>
      </c>
      <c r="M826" s="3" t="s">
        <v>4281</v>
      </c>
      <c r="N826">
        <v>1443.3</v>
      </c>
    </row>
    <row r="827" spans="1:14" x14ac:dyDescent="0.35">
      <c r="A827" t="s">
        <v>839</v>
      </c>
      <c r="B827" t="s">
        <v>4302</v>
      </c>
      <c r="C827" t="s">
        <v>2035</v>
      </c>
      <c r="D827" s="3" t="s">
        <v>2409</v>
      </c>
      <c r="E827">
        <v>5</v>
      </c>
      <c r="F827">
        <v>271.69</v>
      </c>
      <c r="G827" t="s">
        <v>2944</v>
      </c>
      <c r="H827" s="3" t="s">
        <v>3066</v>
      </c>
      <c r="I827" s="3" t="s">
        <v>3072</v>
      </c>
      <c r="J827" t="s">
        <v>3900</v>
      </c>
      <c r="K827">
        <v>7</v>
      </c>
      <c r="L827" t="s">
        <v>4276</v>
      </c>
      <c r="M827" s="3" t="s">
        <v>4278</v>
      </c>
      <c r="N827">
        <v>1358.45</v>
      </c>
    </row>
    <row r="828" spans="1:14" x14ac:dyDescent="0.35">
      <c r="A828" t="s">
        <v>840</v>
      </c>
      <c r="B828" t="s">
        <v>4461</v>
      </c>
      <c r="C828" t="s">
        <v>2036</v>
      </c>
      <c r="D828" s="3" t="s">
        <v>2407</v>
      </c>
      <c r="E828">
        <v>3</v>
      </c>
      <c r="F828">
        <v>463.81</v>
      </c>
      <c r="G828" t="s">
        <v>2570</v>
      </c>
      <c r="H828" s="3" t="s">
        <v>3066</v>
      </c>
      <c r="I828" s="3" t="s">
        <v>3072</v>
      </c>
      <c r="J828" t="s">
        <v>3901</v>
      </c>
      <c r="K828">
        <v>8</v>
      </c>
      <c r="L828" t="s">
        <v>4277</v>
      </c>
      <c r="M828" s="3" t="s">
        <v>4280</v>
      </c>
      <c r="N828">
        <v>1391.43</v>
      </c>
    </row>
    <row r="829" spans="1:14" x14ac:dyDescent="0.35">
      <c r="A829" t="s">
        <v>841</v>
      </c>
      <c r="B829" t="s">
        <v>4835</v>
      </c>
      <c r="C829" t="s">
        <v>2037</v>
      </c>
      <c r="D829" s="3" t="s">
        <v>2405</v>
      </c>
      <c r="E829">
        <v>2</v>
      </c>
      <c r="F829">
        <v>639.88</v>
      </c>
      <c r="G829" t="s">
        <v>2597</v>
      </c>
      <c r="H829" s="3" t="s">
        <v>3069</v>
      </c>
      <c r="I829" s="3" t="s">
        <v>3073</v>
      </c>
      <c r="J829" t="s">
        <v>3902</v>
      </c>
      <c r="K829">
        <v>5</v>
      </c>
      <c r="L829" t="s">
        <v>4277</v>
      </c>
      <c r="M829" s="3" t="s">
        <v>4278</v>
      </c>
      <c r="N829">
        <v>1279.76</v>
      </c>
    </row>
    <row r="830" spans="1:14" x14ac:dyDescent="0.35">
      <c r="A830" t="s">
        <v>842</v>
      </c>
      <c r="B830" t="s">
        <v>4309</v>
      </c>
      <c r="C830" t="s">
        <v>2038</v>
      </c>
      <c r="D830" s="3" t="s">
        <v>2406</v>
      </c>
      <c r="E830">
        <v>4</v>
      </c>
      <c r="F830">
        <v>404.58</v>
      </c>
      <c r="G830" t="s">
        <v>2945</v>
      </c>
      <c r="H830" s="3" t="s">
        <v>3069</v>
      </c>
      <c r="I830" s="3" t="s">
        <v>3070</v>
      </c>
      <c r="J830" t="s">
        <v>3903</v>
      </c>
      <c r="K830">
        <v>5</v>
      </c>
      <c r="L830" t="s">
        <v>4276</v>
      </c>
      <c r="M830" s="3" t="s">
        <v>4278</v>
      </c>
      <c r="N830">
        <v>1618.32</v>
      </c>
    </row>
    <row r="831" spans="1:14" x14ac:dyDescent="0.35">
      <c r="A831" t="s">
        <v>843</v>
      </c>
      <c r="B831" t="s">
        <v>4767</v>
      </c>
      <c r="C831" t="s">
        <v>2039</v>
      </c>
      <c r="D831" s="3" t="s">
        <v>2403</v>
      </c>
      <c r="E831">
        <v>1</v>
      </c>
      <c r="F831">
        <v>76.930000000000007</v>
      </c>
      <c r="G831" t="s">
        <v>2946</v>
      </c>
      <c r="H831" s="3" t="s">
        <v>3065</v>
      </c>
      <c r="I831" s="3" t="s">
        <v>3073</v>
      </c>
      <c r="J831" t="s">
        <v>3904</v>
      </c>
      <c r="K831">
        <v>6</v>
      </c>
      <c r="L831" t="s">
        <v>4277</v>
      </c>
      <c r="M831" s="3" t="s">
        <v>4278</v>
      </c>
      <c r="N831">
        <v>76.930000000000007</v>
      </c>
    </row>
    <row r="832" spans="1:14" x14ac:dyDescent="0.35">
      <c r="A832" t="s">
        <v>844</v>
      </c>
      <c r="B832" t="s">
        <v>4502</v>
      </c>
      <c r="C832" t="s">
        <v>2040</v>
      </c>
      <c r="D832" s="3" t="s">
        <v>2405</v>
      </c>
      <c r="E832">
        <v>4</v>
      </c>
      <c r="F832">
        <v>190.64</v>
      </c>
      <c r="G832" t="s">
        <v>2947</v>
      </c>
      <c r="H832" s="3" t="s">
        <v>3069</v>
      </c>
      <c r="I832" s="3" t="s">
        <v>3073</v>
      </c>
      <c r="J832" t="s">
        <v>3905</v>
      </c>
      <c r="K832">
        <v>5</v>
      </c>
      <c r="L832" t="s">
        <v>4275</v>
      </c>
      <c r="M832" s="3" t="s">
        <v>4280</v>
      </c>
      <c r="N832">
        <v>762.56</v>
      </c>
    </row>
    <row r="833" spans="1:14" x14ac:dyDescent="0.35">
      <c r="A833" t="s">
        <v>845</v>
      </c>
      <c r="B833" t="s">
        <v>4836</v>
      </c>
      <c r="C833" t="s">
        <v>2041</v>
      </c>
      <c r="D833" s="3" t="s">
        <v>2407</v>
      </c>
      <c r="E833">
        <v>2</v>
      </c>
      <c r="F833">
        <v>88.73</v>
      </c>
      <c r="G833" t="s">
        <v>2851</v>
      </c>
      <c r="H833" s="3" t="s">
        <v>3066</v>
      </c>
      <c r="I833" s="3" t="s">
        <v>3074</v>
      </c>
      <c r="J833" t="s">
        <v>3906</v>
      </c>
      <c r="K833">
        <v>5</v>
      </c>
      <c r="L833" t="s">
        <v>4292</v>
      </c>
      <c r="M833" s="3" t="s">
        <v>4282</v>
      </c>
      <c r="N833">
        <v>177.46</v>
      </c>
    </row>
    <row r="834" spans="1:14" x14ac:dyDescent="0.35">
      <c r="A834" t="s">
        <v>846</v>
      </c>
      <c r="B834" t="s">
        <v>4837</v>
      </c>
      <c r="C834" t="s">
        <v>2042</v>
      </c>
      <c r="D834" s="3" t="s">
        <v>2406</v>
      </c>
      <c r="E834">
        <v>5</v>
      </c>
      <c r="F834">
        <v>485.71</v>
      </c>
      <c r="G834" t="s">
        <v>2423</v>
      </c>
      <c r="H834" s="3" t="s">
        <v>3066</v>
      </c>
      <c r="I834" s="3" t="s">
        <v>3074</v>
      </c>
      <c r="J834" t="s">
        <v>3907</v>
      </c>
      <c r="K834">
        <v>10</v>
      </c>
      <c r="L834" t="s">
        <v>4275</v>
      </c>
      <c r="M834" s="3" t="s">
        <v>4279</v>
      </c>
      <c r="N834">
        <v>2428.5500000000002</v>
      </c>
    </row>
    <row r="835" spans="1:14" x14ac:dyDescent="0.35">
      <c r="A835" t="s">
        <v>847</v>
      </c>
      <c r="B835" t="s">
        <v>4671</v>
      </c>
      <c r="C835" t="s">
        <v>2043</v>
      </c>
      <c r="D835" s="3" t="s">
        <v>2404</v>
      </c>
      <c r="E835">
        <v>5</v>
      </c>
      <c r="F835">
        <v>78.290000000000006</v>
      </c>
      <c r="G835" t="s">
        <v>2948</v>
      </c>
      <c r="H835" s="3" t="s">
        <v>3067</v>
      </c>
      <c r="I835" s="3" t="s">
        <v>3070</v>
      </c>
      <c r="J835" t="s">
        <v>3908</v>
      </c>
      <c r="K835">
        <v>5</v>
      </c>
      <c r="L835" t="s">
        <v>4277</v>
      </c>
      <c r="M835" s="3" t="s">
        <v>4279</v>
      </c>
      <c r="N835">
        <v>391.45</v>
      </c>
    </row>
    <row r="836" spans="1:14" x14ac:dyDescent="0.35">
      <c r="A836" t="s">
        <v>848</v>
      </c>
      <c r="B836" t="s">
        <v>4450</v>
      </c>
      <c r="C836" t="s">
        <v>2044</v>
      </c>
      <c r="D836" s="3" t="s">
        <v>2407</v>
      </c>
      <c r="E836">
        <v>5</v>
      </c>
      <c r="F836">
        <v>22.14</v>
      </c>
      <c r="G836" t="s">
        <v>2616</v>
      </c>
      <c r="H836" s="3" t="s">
        <v>3069</v>
      </c>
      <c r="I836" s="3" t="s">
        <v>3072</v>
      </c>
      <c r="J836" t="s">
        <v>3909</v>
      </c>
      <c r="K836">
        <v>10</v>
      </c>
      <c r="L836" t="s">
        <v>4292</v>
      </c>
      <c r="M836" s="3" t="s">
        <v>4278</v>
      </c>
      <c r="N836">
        <v>110.7</v>
      </c>
    </row>
    <row r="837" spans="1:14" x14ac:dyDescent="0.35">
      <c r="A837" t="s">
        <v>849</v>
      </c>
      <c r="B837" t="s">
        <v>4574</v>
      </c>
      <c r="C837" t="s">
        <v>2045</v>
      </c>
      <c r="D837" s="3" t="s">
        <v>2409</v>
      </c>
      <c r="E837">
        <v>1</v>
      </c>
      <c r="F837">
        <v>679.65</v>
      </c>
      <c r="G837" t="s">
        <v>2949</v>
      </c>
      <c r="H837" s="3" t="s">
        <v>3065</v>
      </c>
      <c r="I837" s="3" t="s">
        <v>3070</v>
      </c>
      <c r="J837" t="s">
        <v>3910</v>
      </c>
      <c r="K837">
        <v>6</v>
      </c>
      <c r="L837" t="s">
        <v>4276</v>
      </c>
      <c r="M837" s="3" t="s">
        <v>4282</v>
      </c>
      <c r="N837">
        <v>679.65</v>
      </c>
    </row>
    <row r="838" spans="1:14" x14ac:dyDescent="0.35">
      <c r="A838" t="s">
        <v>850</v>
      </c>
      <c r="B838" t="s">
        <v>4772</v>
      </c>
      <c r="C838" t="s">
        <v>2046</v>
      </c>
      <c r="D838" s="3" t="s">
        <v>2404</v>
      </c>
      <c r="E838">
        <v>1</v>
      </c>
      <c r="F838">
        <v>178.44</v>
      </c>
      <c r="G838" t="s">
        <v>2860</v>
      </c>
      <c r="H838" s="3" t="s">
        <v>3067</v>
      </c>
      <c r="I838" s="3" t="s">
        <v>3071</v>
      </c>
      <c r="J838" t="s">
        <v>3911</v>
      </c>
      <c r="K838">
        <v>2</v>
      </c>
      <c r="L838" t="s">
        <v>4276</v>
      </c>
      <c r="M838" s="3" t="s">
        <v>4282</v>
      </c>
      <c r="N838">
        <v>178.44</v>
      </c>
    </row>
    <row r="839" spans="1:14" x14ac:dyDescent="0.35">
      <c r="A839" t="s">
        <v>851</v>
      </c>
      <c r="B839" t="s">
        <v>4838</v>
      </c>
      <c r="C839" t="s">
        <v>2047</v>
      </c>
      <c r="D839" s="3" t="s">
        <v>2406</v>
      </c>
      <c r="E839">
        <v>5</v>
      </c>
      <c r="F839">
        <v>655.55</v>
      </c>
      <c r="G839" t="s">
        <v>2839</v>
      </c>
      <c r="H839" s="3" t="s">
        <v>3066</v>
      </c>
      <c r="I839" s="3" t="s">
        <v>3073</v>
      </c>
      <c r="J839" t="s">
        <v>3912</v>
      </c>
      <c r="K839">
        <v>5</v>
      </c>
      <c r="L839" t="s">
        <v>4292</v>
      </c>
      <c r="M839" s="3" t="s">
        <v>4280</v>
      </c>
      <c r="N839">
        <v>3277.75</v>
      </c>
    </row>
    <row r="840" spans="1:14" x14ac:dyDescent="0.35">
      <c r="A840" t="s">
        <v>852</v>
      </c>
      <c r="B840" t="s">
        <v>4450</v>
      </c>
      <c r="C840" t="s">
        <v>2048</v>
      </c>
      <c r="D840" s="3" t="s">
        <v>2409</v>
      </c>
      <c r="E840">
        <v>4</v>
      </c>
      <c r="F840">
        <v>577.08000000000004</v>
      </c>
      <c r="G840" t="s">
        <v>2475</v>
      </c>
      <c r="H840" s="3" t="s">
        <v>3066</v>
      </c>
      <c r="I840" s="3" t="s">
        <v>3074</v>
      </c>
      <c r="J840" t="s">
        <v>3913</v>
      </c>
      <c r="K840">
        <v>8</v>
      </c>
      <c r="L840" t="s">
        <v>4292</v>
      </c>
      <c r="M840" s="3" t="s">
        <v>4281</v>
      </c>
      <c r="N840">
        <v>2308.3200000000002</v>
      </c>
    </row>
    <row r="841" spans="1:14" x14ac:dyDescent="0.35">
      <c r="A841" t="s">
        <v>853</v>
      </c>
      <c r="B841" t="s">
        <v>4602</v>
      </c>
      <c r="C841" t="s">
        <v>2049</v>
      </c>
      <c r="D841" s="3" t="s">
        <v>2406</v>
      </c>
      <c r="E841">
        <v>3</v>
      </c>
      <c r="F841">
        <v>197.97</v>
      </c>
      <c r="G841" t="s">
        <v>2902</v>
      </c>
      <c r="H841" s="3" t="s">
        <v>3066</v>
      </c>
      <c r="I841" s="3" t="s">
        <v>3071</v>
      </c>
      <c r="J841" t="s">
        <v>3914</v>
      </c>
      <c r="K841">
        <v>5</v>
      </c>
      <c r="L841" t="s">
        <v>4292</v>
      </c>
      <c r="M841" s="3" t="s">
        <v>4282</v>
      </c>
      <c r="N841">
        <v>593.91</v>
      </c>
    </row>
    <row r="842" spans="1:14" x14ac:dyDescent="0.35">
      <c r="A842" t="s">
        <v>854</v>
      </c>
      <c r="B842" t="s">
        <v>4839</v>
      </c>
      <c r="C842" t="s">
        <v>2050</v>
      </c>
      <c r="D842" s="3" t="s">
        <v>2406</v>
      </c>
      <c r="E842">
        <v>3</v>
      </c>
      <c r="F842">
        <v>411.95</v>
      </c>
      <c r="G842" t="s">
        <v>2774</v>
      </c>
      <c r="H842" s="3" t="s">
        <v>3067</v>
      </c>
      <c r="I842" s="3" t="s">
        <v>3073</v>
      </c>
      <c r="J842" t="s">
        <v>3915</v>
      </c>
      <c r="K842">
        <v>7</v>
      </c>
      <c r="L842" t="s">
        <v>4276</v>
      </c>
      <c r="M842" s="3" t="s">
        <v>4279</v>
      </c>
      <c r="N842">
        <v>1235.8499999999999</v>
      </c>
    </row>
    <row r="843" spans="1:14" x14ac:dyDescent="0.35">
      <c r="A843" t="s">
        <v>855</v>
      </c>
      <c r="B843" t="s">
        <v>4840</v>
      </c>
      <c r="C843" t="s">
        <v>2051</v>
      </c>
      <c r="D843" s="3" t="s">
        <v>2407</v>
      </c>
      <c r="E843">
        <v>2</v>
      </c>
      <c r="F843">
        <v>443.22</v>
      </c>
      <c r="G843" t="s">
        <v>2950</v>
      </c>
      <c r="H843" s="3" t="s">
        <v>3067</v>
      </c>
      <c r="I843" s="3" t="s">
        <v>3073</v>
      </c>
      <c r="J843" t="s">
        <v>3916</v>
      </c>
      <c r="K843">
        <v>5</v>
      </c>
      <c r="L843" t="s">
        <v>4292</v>
      </c>
      <c r="M843" s="3" t="s">
        <v>4281</v>
      </c>
      <c r="N843">
        <v>886.44</v>
      </c>
    </row>
    <row r="844" spans="1:14" x14ac:dyDescent="0.35">
      <c r="A844" t="s">
        <v>856</v>
      </c>
      <c r="B844" t="s">
        <v>4390</v>
      </c>
      <c r="C844" t="s">
        <v>2052</v>
      </c>
      <c r="D844" s="3" t="s">
        <v>2408</v>
      </c>
      <c r="E844">
        <v>3</v>
      </c>
      <c r="F844">
        <v>364.14</v>
      </c>
      <c r="G844" t="s">
        <v>2877</v>
      </c>
      <c r="H844" s="3" t="s">
        <v>3066</v>
      </c>
      <c r="I844" s="3" t="s">
        <v>3074</v>
      </c>
      <c r="J844" t="s">
        <v>3917</v>
      </c>
      <c r="K844">
        <v>7</v>
      </c>
      <c r="L844" t="s">
        <v>4277</v>
      </c>
      <c r="M844" s="3" t="s">
        <v>4279</v>
      </c>
      <c r="N844">
        <v>1092.42</v>
      </c>
    </row>
    <row r="845" spans="1:14" x14ac:dyDescent="0.35">
      <c r="A845" t="s">
        <v>857</v>
      </c>
      <c r="B845" t="s">
        <v>4841</v>
      </c>
      <c r="C845" t="s">
        <v>2053</v>
      </c>
      <c r="D845" s="3" t="s">
        <v>2409</v>
      </c>
      <c r="E845">
        <v>3</v>
      </c>
      <c r="F845">
        <v>430.06</v>
      </c>
      <c r="G845" t="s">
        <v>2951</v>
      </c>
      <c r="H845" s="3" t="s">
        <v>3068</v>
      </c>
      <c r="I845" s="3" t="s">
        <v>3071</v>
      </c>
      <c r="J845" t="s">
        <v>3918</v>
      </c>
      <c r="K845">
        <v>8</v>
      </c>
      <c r="L845" t="s">
        <v>4276</v>
      </c>
      <c r="M845" s="3" t="s">
        <v>4278</v>
      </c>
      <c r="N845">
        <v>1290.18</v>
      </c>
    </row>
    <row r="846" spans="1:14" x14ac:dyDescent="0.35">
      <c r="A846" t="s">
        <v>858</v>
      </c>
      <c r="B846" t="s">
        <v>4842</v>
      </c>
      <c r="C846" t="s">
        <v>2054</v>
      </c>
      <c r="D846" s="3" t="s">
        <v>2406</v>
      </c>
      <c r="E846">
        <v>1</v>
      </c>
      <c r="F846">
        <v>320.92</v>
      </c>
      <c r="G846" t="s">
        <v>2952</v>
      </c>
      <c r="H846" s="3" t="s">
        <v>3066</v>
      </c>
      <c r="I846" s="3" t="s">
        <v>3072</v>
      </c>
      <c r="J846" t="s">
        <v>3919</v>
      </c>
      <c r="K846">
        <v>5</v>
      </c>
      <c r="L846" t="s">
        <v>4276</v>
      </c>
      <c r="M846" s="3" t="s">
        <v>4281</v>
      </c>
      <c r="N846">
        <v>320.92</v>
      </c>
    </row>
    <row r="847" spans="1:14" x14ac:dyDescent="0.35">
      <c r="A847" t="s">
        <v>859</v>
      </c>
      <c r="B847" t="s">
        <v>4629</v>
      </c>
      <c r="C847" t="s">
        <v>2055</v>
      </c>
      <c r="D847" s="3" t="s">
        <v>2404</v>
      </c>
      <c r="E847">
        <v>3</v>
      </c>
      <c r="F847">
        <v>107.36</v>
      </c>
      <c r="G847" t="s">
        <v>2953</v>
      </c>
      <c r="H847" s="3" t="s">
        <v>3068</v>
      </c>
      <c r="I847" s="3" t="s">
        <v>3073</v>
      </c>
      <c r="J847" t="s">
        <v>3920</v>
      </c>
      <c r="K847">
        <v>5</v>
      </c>
      <c r="L847" t="s">
        <v>4276</v>
      </c>
      <c r="M847" s="3" t="s">
        <v>4282</v>
      </c>
      <c r="N847">
        <v>322.08</v>
      </c>
    </row>
    <row r="848" spans="1:14" x14ac:dyDescent="0.35">
      <c r="A848" t="s">
        <v>860</v>
      </c>
      <c r="B848" t="s">
        <v>4786</v>
      </c>
      <c r="C848" t="s">
        <v>2056</v>
      </c>
      <c r="D848" s="3" t="s">
        <v>2409</v>
      </c>
      <c r="E848">
        <v>2</v>
      </c>
      <c r="F848">
        <v>359.86</v>
      </c>
      <c r="G848" t="s">
        <v>2954</v>
      </c>
      <c r="H848" s="3" t="s">
        <v>3065</v>
      </c>
      <c r="I848" s="3" t="s">
        <v>3071</v>
      </c>
      <c r="J848" t="s">
        <v>3921</v>
      </c>
      <c r="K848">
        <v>4</v>
      </c>
      <c r="L848" t="s">
        <v>4292</v>
      </c>
      <c r="M848" s="3" t="s">
        <v>4279</v>
      </c>
      <c r="N848">
        <v>719.72</v>
      </c>
    </row>
    <row r="849" spans="1:14" x14ac:dyDescent="0.35">
      <c r="A849" t="s">
        <v>861</v>
      </c>
      <c r="B849" t="s">
        <v>4533</v>
      </c>
      <c r="C849" t="s">
        <v>2057</v>
      </c>
      <c r="D849" s="3" t="s">
        <v>2407</v>
      </c>
      <c r="E849">
        <v>4</v>
      </c>
      <c r="F849">
        <v>434.23</v>
      </c>
      <c r="G849" t="s">
        <v>2657</v>
      </c>
      <c r="H849" s="3" t="s">
        <v>3066</v>
      </c>
      <c r="I849" s="3" t="s">
        <v>3070</v>
      </c>
      <c r="J849" t="s">
        <v>3922</v>
      </c>
      <c r="K849">
        <v>8</v>
      </c>
      <c r="L849" t="s">
        <v>4276</v>
      </c>
      <c r="M849" s="3" t="s">
        <v>4280</v>
      </c>
      <c r="N849">
        <v>1736.92</v>
      </c>
    </row>
    <row r="850" spans="1:14" x14ac:dyDescent="0.35">
      <c r="A850" t="s">
        <v>862</v>
      </c>
      <c r="B850" t="s">
        <v>4391</v>
      </c>
      <c r="C850" t="s">
        <v>2058</v>
      </c>
      <c r="D850" s="3" t="s">
        <v>2406</v>
      </c>
      <c r="E850">
        <v>2</v>
      </c>
      <c r="F850">
        <v>645.85</v>
      </c>
      <c r="G850" t="s">
        <v>2466</v>
      </c>
      <c r="H850" s="3" t="s">
        <v>3066</v>
      </c>
      <c r="I850" s="3" t="s">
        <v>3070</v>
      </c>
      <c r="J850" t="s">
        <v>3923</v>
      </c>
      <c r="K850">
        <v>5</v>
      </c>
      <c r="L850" t="s">
        <v>4292</v>
      </c>
      <c r="M850" s="3" t="s">
        <v>4279</v>
      </c>
      <c r="N850">
        <v>1291.7</v>
      </c>
    </row>
    <row r="851" spans="1:14" x14ac:dyDescent="0.35">
      <c r="A851" t="s">
        <v>863</v>
      </c>
      <c r="B851" t="s">
        <v>4843</v>
      </c>
      <c r="C851" t="s">
        <v>2059</v>
      </c>
      <c r="D851" s="3" t="s">
        <v>2407</v>
      </c>
      <c r="E851">
        <v>4</v>
      </c>
      <c r="F851">
        <v>214.35</v>
      </c>
      <c r="G851" t="s">
        <v>2943</v>
      </c>
      <c r="H851" s="3" t="s">
        <v>3065</v>
      </c>
      <c r="I851" s="3" t="s">
        <v>3071</v>
      </c>
      <c r="J851" t="s">
        <v>3924</v>
      </c>
      <c r="K851">
        <v>7</v>
      </c>
      <c r="L851" t="s">
        <v>4277</v>
      </c>
      <c r="M851" s="3" t="s">
        <v>4279</v>
      </c>
      <c r="N851">
        <v>857.4</v>
      </c>
    </row>
    <row r="852" spans="1:14" x14ac:dyDescent="0.35">
      <c r="A852" t="s">
        <v>864</v>
      </c>
      <c r="B852" t="s">
        <v>4844</v>
      </c>
      <c r="C852" t="s">
        <v>2060</v>
      </c>
      <c r="D852" s="3" t="s">
        <v>2403</v>
      </c>
      <c r="E852">
        <v>3</v>
      </c>
      <c r="F852">
        <v>638.5</v>
      </c>
      <c r="G852" t="s">
        <v>2893</v>
      </c>
      <c r="H852" s="3" t="s">
        <v>3065</v>
      </c>
      <c r="I852" s="3" t="s">
        <v>3071</v>
      </c>
      <c r="J852" t="s">
        <v>3925</v>
      </c>
      <c r="K852">
        <v>4</v>
      </c>
      <c r="L852" t="s">
        <v>4276</v>
      </c>
      <c r="M852" s="3" t="s">
        <v>4278</v>
      </c>
      <c r="N852">
        <v>1915.5</v>
      </c>
    </row>
    <row r="853" spans="1:14" x14ac:dyDescent="0.35">
      <c r="A853" t="s">
        <v>865</v>
      </c>
      <c r="B853" t="s">
        <v>4711</v>
      </c>
      <c r="C853" t="s">
        <v>2061</v>
      </c>
      <c r="D853" s="3" t="s">
        <v>2408</v>
      </c>
      <c r="E853">
        <v>1</v>
      </c>
      <c r="F853">
        <v>365.57</v>
      </c>
      <c r="G853" t="s">
        <v>2482</v>
      </c>
      <c r="H853" s="3" t="s">
        <v>3066</v>
      </c>
      <c r="I853" s="3" t="s">
        <v>3071</v>
      </c>
      <c r="J853" t="s">
        <v>3926</v>
      </c>
      <c r="K853">
        <v>5</v>
      </c>
      <c r="L853" t="s">
        <v>4275</v>
      </c>
      <c r="M853" s="3" t="s">
        <v>4280</v>
      </c>
      <c r="N853">
        <v>365.57</v>
      </c>
    </row>
    <row r="854" spans="1:14" x14ac:dyDescent="0.35">
      <c r="A854" t="s">
        <v>866</v>
      </c>
      <c r="B854" t="s">
        <v>4385</v>
      </c>
      <c r="C854" t="s">
        <v>2062</v>
      </c>
      <c r="D854" s="3" t="s">
        <v>2409</v>
      </c>
      <c r="E854">
        <v>3</v>
      </c>
      <c r="F854">
        <v>568.04999999999995</v>
      </c>
      <c r="G854" t="s">
        <v>2955</v>
      </c>
      <c r="H854" s="3" t="s">
        <v>3068</v>
      </c>
      <c r="I854" s="3" t="s">
        <v>3074</v>
      </c>
      <c r="J854" t="s">
        <v>3927</v>
      </c>
      <c r="K854">
        <v>6</v>
      </c>
      <c r="L854" t="s">
        <v>4275</v>
      </c>
      <c r="M854" s="3" t="s">
        <v>4282</v>
      </c>
      <c r="N854">
        <v>1704.15</v>
      </c>
    </row>
    <row r="855" spans="1:14" x14ac:dyDescent="0.35">
      <c r="A855" t="s">
        <v>867</v>
      </c>
      <c r="B855" t="s">
        <v>4788</v>
      </c>
      <c r="C855" t="s">
        <v>2063</v>
      </c>
      <c r="D855" s="3" t="s">
        <v>2407</v>
      </c>
      <c r="E855">
        <v>3</v>
      </c>
      <c r="F855">
        <v>490.01</v>
      </c>
      <c r="G855" t="s">
        <v>2663</v>
      </c>
      <c r="H855" s="3" t="s">
        <v>3069</v>
      </c>
      <c r="I855" s="3" t="s">
        <v>3072</v>
      </c>
      <c r="J855" t="s">
        <v>3928</v>
      </c>
      <c r="K855">
        <v>4</v>
      </c>
      <c r="L855" t="s">
        <v>4275</v>
      </c>
      <c r="M855" s="3" t="s">
        <v>4281</v>
      </c>
      <c r="N855">
        <v>1470.03</v>
      </c>
    </row>
    <row r="856" spans="1:14" x14ac:dyDescent="0.35">
      <c r="A856" t="s">
        <v>868</v>
      </c>
      <c r="B856" t="s">
        <v>4683</v>
      </c>
      <c r="C856" t="s">
        <v>2064</v>
      </c>
      <c r="D856" s="3" t="s">
        <v>2408</v>
      </c>
      <c r="E856">
        <v>3</v>
      </c>
      <c r="F856">
        <v>372.6</v>
      </c>
      <c r="G856" t="s">
        <v>2759</v>
      </c>
      <c r="H856" s="3" t="s">
        <v>3067</v>
      </c>
      <c r="I856" s="3" t="s">
        <v>3073</v>
      </c>
      <c r="J856" t="s">
        <v>3929</v>
      </c>
      <c r="K856">
        <v>7</v>
      </c>
      <c r="L856" t="s">
        <v>4277</v>
      </c>
      <c r="M856" s="3" t="s">
        <v>4279</v>
      </c>
      <c r="N856">
        <v>1117.8</v>
      </c>
    </row>
    <row r="857" spans="1:14" x14ac:dyDescent="0.35">
      <c r="A857" t="s">
        <v>869</v>
      </c>
      <c r="B857" t="s">
        <v>4835</v>
      </c>
      <c r="C857" t="s">
        <v>2065</v>
      </c>
      <c r="D857" s="3" t="s">
        <v>2403</v>
      </c>
      <c r="E857">
        <v>5</v>
      </c>
      <c r="F857">
        <v>240.61</v>
      </c>
      <c r="G857" t="s">
        <v>2624</v>
      </c>
      <c r="H857" s="3" t="s">
        <v>3067</v>
      </c>
      <c r="I857" s="3" t="s">
        <v>3070</v>
      </c>
      <c r="J857" t="s">
        <v>3930</v>
      </c>
      <c r="K857">
        <v>10</v>
      </c>
      <c r="L857" t="s">
        <v>4276</v>
      </c>
      <c r="M857" s="3" t="s">
        <v>4280</v>
      </c>
      <c r="N857">
        <v>1203.05</v>
      </c>
    </row>
    <row r="858" spans="1:14" x14ac:dyDescent="0.35">
      <c r="A858" t="s">
        <v>870</v>
      </c>
      <c r="B858" t="s">
        <v>4845</v>
      </c>
      <c r="C858" t="s">
        <v>2066</v>
      </c>
      <c r="D858" s="3" t="s">
        <v>2404</v>
      </c>
      <c r="E858">
        <v>1</v>
      </c>
      <c r="F858">
        <v>586.62</v>
      </c>
      <c r="G858" t="s">
        <v>2452</v>
      </c>
      <c r="H858" s="3" t="s">
        <v>3065</v>
      </c>
      <c r="I858" s="3" t="s">
        <v>3070</v>
      </c>
      <c r="J858" t="s">
        <v>3931</v>
      </c>
      <c r="K858">
        <v>5</v>
      </c>
      <c r="L858" t="s">
        <v>4292</v>
      </c>
      <c r="M858" s="3" t="s">
        <v>4281</v>
      </c>
      <c r="N858">
        <v>586.62</v>
      </c>
    </row>
    <row r="859" spans="1:14" x14ac:dyDescent="0.35">
      <c r="A859" t="s">
        <v>871</v>
      </c>
      <c r="B859" t="s">
        <v>4700</v>
      </c>
      <c r="C859" t="s">
        <v>2067</v>
      </c>
      <c r="D859" s="3" t="s">
        <v>2404</v>
      </c>
      <c r="E859">
        <v>3</v>
      </c>
      <c r="F859">
        <v>257.83999999999997</v>
      </c>
      <c r="G859" t="s">
        <v>2594</v>
      </c>
      <c r="H859" s="3" t="s">
        <v>3066</v>
      </c>
      <c r="I859" s="3" t="s">
        <v>3073</v>
      </c>
      <c r="J859" t="s">
        <v>3932</v>
      </c>
      <c r="K859">
        <v>4</v>
      </c>
      <c r="L859" t="s">
        <v>4292</v>
      </c>
      <c r="M859" s="3" t="s">
        <v>4278</v>
      </c>
      <c r="N859">
        <v>773.52</v>
      </c>
    </row>
    <row r="860" spans="1:14" x14ac:dyDescent="0.35">
      <c r="A860" t="s">
        <v>872</v>
      </c>
      <c r="B860" t="s">
        <v>4322</v>
      </c>
      <c r="C860" t="s">
        <v>2068</v>
      </c>
      <c r="D860" s="3" t="s">
        <v>2405</v>
      </c>
      <c r="E860">
        <v>5</v>
      </c>
      <c r="F860">
        <v>435.66</v>
      </c>
      <c r="G860" t="s">
        <v>2428</v>
      </c>
      <c r="H860" s="3" t="s">
        <v>3066</v>
      </c>
      <c r="I860" s="3" t="s">
        <v>3074</v>
      </c>
      <c r="J860" t="s">
        <v>3933</v>
      </c>
      <c r="K860">
        <v>9</v>
      </c>
      <c r="L860" t="s">
        <v>4292</v>
      </c>
      <c r="M860" s="3" t="s">
        <v>4281</v>
      </c>
      <c r="N860">
        <v>2178.3000000000002</v>
      </c>
    </row>
    <row r="861" spans="1:14" x14ac:dyDescent="0.35">
      <c r="A861" t="s">
        <v>873</v>
      </c>
      <c r="B861" t="s">
        <v>4846</v>
      </c>
      <c r="C861" t="s">
        <v>2069</v>
      </c>
      <c r="D861" s="3" t="s">
        <v>2406</v>
      </c>
      <c r="E861">
        <v>5</v>
      </c>
      <c r="F861">
        <v>261.33</v>
      </c>
      <c r="G861" t="s">
        <v>2842</v>
      </c>
      <c r="H861" s="3" t="s">
        <v>3067</v>
      </c>
      <c r="I861" s="3" t="s">
        <v>3072</v>
      </c>
      <c r="J861" t="s">
        <v>3934</v>
      </c>
      <c r="K861">
        <v>5</v>
      </c>
      <c r="L861" t="s">
        <v>4275</v>
      </c>
      <c r="M861" s="3" t="s">
        <v>4279</v>
      </c>
      <c r="N861">
        <v>1306.6500000000001</v>
      </c>
    </row>
    <row r="862" spans="1:14" x14ac:dyDescent="0.35">
      <c r="A862" t="s">
        <v>874</v>
      </c>
      <c r="B862" t="s">
        <v>4798</v>
      </c>
      <c r="C862" t="s">
        <v>2070</v>
      </c>
      <c r="D862" s="3" t="s">
        <v>2407</v>
      </c>
      <c r="E862">
        <v>1</v>
      </c>
      <c r="F862">
        <v>422.54</v>
      </c>
      <c r="G862" t="s">
        <v>2699</v>
      </c>
      <c r="H862" s="3" t="s">
        <v>3069</v>
      </c>
      <c r="I862" s="3" t="s">
        <v>3073</v>
      </c>
      <c r="J862" t="s">
        <v>3935</v>
      </c>
      <c r="K862">
        <v>1</v>
      </c>
      <c r="L862" t="s">
        <v>4275</v>
      </c>
      <c r="M862" s="3" t="s">
        <v>4282</v>
      </c>
      <c r="N862">
        <v>422.54</v>
      </c>
    </row>
    <row r="863" spans="1:14" x14ac:dyDescent="0.35">
      <c r="A863" t="s">
        <v>875</v>
      </c>
      <c r="B863" t="s">
        <v>4395</v>
      </c>
      <c r="C863" t="s">
        <v>2071</v>
      </c>
      <c r="D863" s="3" t="s">
        <v>2409</v>
      </c>
      <c r="E863">
        <v>5</v>
      </c>
      <c r="F863">
        <v>330.45</v>
      </c>
      <c r="G863" t="s">
        <v>2956</v>
      </c>
      <c r="H863" s="3" t="s">
        <v>3068</v>
      </c>
      <c r="I863" s="3" t="s">
        <v>3070</v>
      </c>
      <c r="J863" t="s">
        <v>3936</v>
      </c>
      <c r="K863">
        <v>10</v>
      </c>
      <c r="L863" t="s">
        <v>4276</v>
      </c>
      <c r="M863" s="3" t="s">
        <v>4282</v>
      </c>
      <c r="N863">
        <v>1652.25</v>
      </c>
    </row>
    <row r="864" spans="1:14" x14ac:dyDescent="0.35">
      <c r="A864" t="s">
        <v>876</v>
      </c>
      <c r="B864" t="s">
        <v>4562</v>
      </c>
      <c r="C864" t="s">
        <v>2072</v>
      </c>
      <c r="D864" s="3" t="s">
        <v>2409</v>
      </c>
      <c r="E864">
        <v>3</v>
      </c>
      <c r="F864">
        <v>120.82</v>
      </c>
      <c r="G864" t="s">
        <v>2882</v>
      </c>
      <c r="H864" s="3" t="s">
        <v>3067</v>
      </c>
      <c r="I864" s="3" t="s">
        <v>3070</v>
      </c>
      <c r="J864" t="s">
        <v>3937</v>
      </c>
      <c r="K864">
        <v>5</v>
      </c>
      <c r="L864" t="s">
        <v>4275</v>
      </c>
      <c r="M864" s="3" t="s">
        <v>4279</v>
      </c>
      <c r="N864">
        <v>362.46</v>
      </c>
    </row>
    <row r="865" spans="1:14" x14ac:dyDescent="0.35">
      <c r="A865" t="s">
        <v>877</v>
      </c>
      <c r="B865" t="s">
        <v>4483</v>
      </c>
      <c r="C865" t="s">
        <v>2073</v>
      </c>
      <c r="D865" s="3" t="s">
        <v>2404</v>
      </c>
      <c r="E865">
        <v>1</v>
      </c>
      <c r="F865">
        <v>14.06</v>
      </c>
      <c r="G865" t="s">
        <v>2625</v>
      </c>
      <c r="H865" s="3" t="s">
        <v>3067</v>
      </c>
      <c r="I865" s="3" t="s">
        <v>3074</v>
      </c>
      <c r="J865" t="s">
        <v>3938</v>
      </c>
      <c r="K865">
        <v>5</v>
      </c>
      <c r="L865" t="s">
        <v>4275</v>
      </c>
      <c r="M865" s="3" t="s">
        <v>4279</v>
      </c>
      <c r="N865">
        <v>14.06</v>
      </c>
    </row>
    <row r="866" spans="1:14" x14ac:dyDescent="0.35">
      <c r="A866" t="s">
        <v>878</v>
      </c>
      <c r="B866" t="s">
        <v>4355</v>
      </c>
      <c r="C866" t="s">
        <v>2074</v>
      </c>
      <c r="D866" s="3" t="s">
        <v>2409</v>
      </c>
      <c r="E866">
        <v>1</v>
      </c>
      <c r="F866">
        <v>491.11</v>
      </c>
      <c r="G866" t="s">
        <v>2957</v>
      </c>
      <c r="H866" s="3" t="s">
        <v>3067</v>
      </c>
      <c r="I866" s="3" t="s">
        <v>3073</v>
      </c>
      <c r="J866" t="s">
        <v>3939</v>
      </c>
      <c r="K866">
        <v>4</v>
      </c>
      <c r="L866" t="s">
        <v>4275</v>
      </c>
      <c r="M866" s="3" t="s">
        <v>4281</v>
      </c>
      <c r="N866">
        <v>491.11</v>
      </c>
    </row>
    <row r="867" spans="1:14" x14ac:dyDescent="0.35">
      <c r="A867" t="s">
        <v>879</v>
      </c>
      <c r="B867" t="s">
        <v>4847</v>
      </c>
      <c r="C867" t="s">
        <v>2075</v>
      </c>
      <c r="D867" s="3" t="s">
        <v>2403</v>
      </c>
      <c r="E867">
        <v>4</v>
      </c>
      <c r="F867">
        <v>677.37</v>
      </c>
      <c r="G867" t="s">
        <v>2958</v>
      </c>
      <c r="H867" s="3" t="s">
        <v>3069</v>
      </c>
      <c r="I867" s="3" t="s">
        <v>3074</v>
      </c>
      <c r="J867" t="s">
        <v>3940</v>
      </c>
      <c r="K867">
        <v>8</v>
      </c>
      <c r="L867" t="s">
        <v>4275</v>
      </c>
      <c r="M867" s="3" t="s">
        <v>4282</v>
      </c>
      <c r="N867">
        <v>2709.48</v>
      </c>
    </row>
    <row r="868" spans="1:14" x14ac:dyDescent="0.35">
      <c r="A868" t="s">
        <v>880</v>
      </c>
      <c r="B868" t="s">
        <v>4787</v>
      </c>
      <c r="C868" t="s">
        <v>2076</v>
      </c>
      <c r="D868" s="3" t="s">
        <v>2409</v>
      </c>
      <c r="E868">
        <v>5</v>
      </c>
      <c r="F868">
        <v>189.25</v>
      </c>
      <c r="G868" t="s">
        <v>2959</v>
      </c>
      <c r="H868" s="3" t="s">
        <v>3065</v>
      </c>
      <c r="I868" s="3" t="s">
        <v>3071</v>
      </c>
      <c r="J868" t="s">
        <v>3941</v>
      </c>
      <c r="K868">
        <v>10</v>
      </c>
      <c r="L868" t="s">
        <v>4277</v>
      </c>
      <c r="M868" s="3" t="s">
        <v>4280</v>
      </c>
      <c r="N868">
        <v>946.25</v>
      </c>
    </row>
    <row r="869" spans="1:14" x14ac:dyDescent="0.35">
      <c r="A869" t="s">
        <v>881</v>
      </c>
      <c r="B869" t="s">
        <v>4848</v>
      </c>
      <c r="C869" t="s">
        <v>2077</v>
      </c>
      <c r="D869" s="3" t="s">
        <v>2407</v>
      </c>
      <c r="E869">
        <v>4</v>
      </c>
      <c r="F869">
        <v>142.58000000000001</v>
      </c>
      <c r="G869" t="s">
        <v>2960</v>
      </c>
      <c r="H869" s="3" t="s">
        <v>3069</v>
      </c>
      <c r="I869" s="3" t="s">
        <v>3073</v>
      </c>
      <c r="J869" t="s">
        <v>3942</v>
      </c>
      <c r="K869">
        <v>4</v>
      </c>
      <c r="L869" t="s">
        <v>4276</v>
      </c>
      <c r="M869" s="3" t="s">
        <v>4281</v>
      </c>
      <c r="N869">
        <v>570.32000000000005</v>
      </c>
    </row>
    <row r="870" spans="1:14" x14ac:dyDescent="0.35">
      <c r="A870" t="s">
        <v>882</v>
      </c>
      <c r="B870" t="s">
        <v>4594</v>
      </c>
      <c r="C870" t="s">
        <v>2078</v>
      </c>
      <c r="D870" s="3" t="s">
        <v>2403</v>
      </c>
      <c r="E870">
        <v>4</v>
      </c>
      <c r="F870">
        <v>316.32</v>
      </c>
      <c r="G870" t="s">
        <v>2961</v>
      </c>
      <c r="H870" s="3" t="s">
        <v>3065</v>
      </c>
      <c r="I870" s="3" t="s">
        <v>3073</v>
      </c>
      <c r="J870" t="s">
        <v>3943</v>
      </c>
      <c r="K870">
        <v>7</v>
      </c>
      <c r="L870" t="s">
        <v>4292</v>
      </c>
      <c r="M870" s="3" t="s">
        <v>4281</v>
      </c>
      <c r="N870">
        <v>1265.28</v>
      </c>
    </row>
    <row r="871" spans="1:14" x14ac:dyDescent="0.35">
      <c r="A871" t="s">
        <v>883</v>
      </c>
      <c r="B871" t="s">
        <v>4821</v>
      </c>
      <c r="C871" t="s">
        <v>2079</v>
      </c>
      <c r="D871" s="3" t="s">
        <v>2409</v>
      </c>
      <c r="E871">
        <v>2</v>
      </c>
      <c r="F871">
        <v>533.95000000000005</v>
      </c>
      <c r="G871" t="s">
        <v>2566</v>
      </c>
      <c r="H871" s="3" t="s">
        <v>3066</v>
      </c>
      <c r="I871" s="3" t="s">
        <v>3073</v>
      </c>
      <c r="J871" t="s">
        <v>3944</v>
      </c>
      <c r="K871">
        <v>5</v>
      </c>
      <c r="L871" t="s">
        <v>4277</v>
      </c>
      <c r="M871" s="3" t="s">
        <v>4282</v>
      </c>
      <c r="N871">
        <v>1067.9000000000001</v>
      </c>
    </row>
    <row r="872" spans="1:14" x14ac:dyDescent="0.35">
      <c r="A872" t="s">
        <v>884</v>
      </c>
      <c r="B872" t="s">
        <v>4849</v>
      </c>
      <c r="C872" t="s">
        <v>2080</v>
      </c>
      <c r="D872" s="3" t="s">
        <v>2404</v>
      </c>
      <c r="E872">
        <v>4</v>
      </c>
      <c r="F872">
        <v>470.09</v>
      </c>
      <c r="G872" t="s">
        <v>2962</v>
      </c>
      <c r="H872" s="3" t="s">
        <v>3065</v>
      </c>
      <c r="I872" s="3" t="s">
        <v>3073</v>
      </c>
      <c r="J872" t="s">
        <v>3945</v>
      </c>
      <c r="K872">
        <v>4</v>
      </c>
      <c r="L872" t="s">
        <v>4276</v>
      </c>
      <c r="M872" s="3" t="s">
        <v>4282</v>
      </c>
      <c r="N872">
        <v>1880.36</v>
      </c>
    </row>
    <row r="873" spans="1:14" x14ac:dyDescent="0.35">
      <c r="A873" t="s">
        <v>885</v>
      </c>
      <c r="B873" t="s">
        <v>4433</v>
      </c>
      <c r="C873" t="s">
        <v>2081</v>
      </c>
      <c r="D873" s="3" t="s">
        <v>2405</v>
      </c>
      <c r="E873">
        <v>3</v>
      </c>
      <c r="F873">
        <v>324.3</v>
      </c>
      <c r="G873" t="s">
        <v>2963</v>
      </c>
      <c r="H873" s="3" t="s">
        <v>3065</v>
      </c>
      <c r="I873" s="3" t="s">
        <v>3074</v>
      </c>
      <c r="J873" t="s">
        <v>3946</v>
      </c>
      <c r="K873">
        <v>8</v>
      </c>
      <c r="L873" t="s">
        <v>4276</v>
      </c>
      <c r="M873" s="3" t="s">
        <v>4280</v>
      </c>
      <c r="N873">
        <v>972.9</v>
      </c>
    </row>
    <row r="874" spans="1:14" x14ac:dyDescent="0.35">
      <c r="A874" t="s">
        <v>886</v>
      </c>
      <c r="B874" t="s">
        <v>4850</v>
      </c>
      <c r="C874" t="s">
        <v>2082</v>
      </c>
      <c r="D874" s="3" t="s">
        <v>2406</v>
      </c>
      <c r="E874">
        <v>4</v>
      </c>
      <c r="F874">
        <v>629.34</v>
      </c>
      <c r="G874" t="s">
        <v>2590</v>
      </c>
      <c r="H874" s="3" t="s">
        <v>3069</v>
      </c>
      <c r="I874" s="3" t="s">
        <v>3070</v>
      </c>
      <c r="J874" t="s">
        <v>3947</v>
      </c>
      <c r="K874">
        <v>7</v>
      </c>
      <c r="L874" t="s">
        <v>4292</v>
      </c>
      <c r="M874" s="3" t="s">
        <v>4280</v>
      </c>
      <c r="N874">
        <v>2517.36</v>
      </c>
    </row>
    <row r="875" spans="1:14" x14ac:dyDescent="0.35">
      <c r="A875" t="s">
        <v>887</v>
      </c>
      <c r="B875" t="s">
        <v>4542</v>
      </c>
      <c r="C875" t="s">
        <v>2083</v>
      </c>
      <c r="D875" s="3" t="s">
        <v>2409</v>
      </c>
      <c r="E875">
        <v>3</v>
      </c>
      <c r="F875">
        <v>136.84</v>
      </c>
      <c r="G875" t="s">
        <v>2964</v>
      </c>
      <c r="H875" s="3" t="s">
        <v>3069</v>
      </c>
      <c r="I875" s="3" t="s">
        <v>3073</v>
      </c>
      <c r="J875" t="s">
        <v>3948</v>
      </c>
      <c r="K875">
        <v>3</v>
      </c>
      <c r="L875" t="s">
        <v>4275</v>
      </c>
      <c r="M875" s="3" t="s">
        <v>4281</v>
      </c>
      <c r="N875">
        <v>410.52</v>
      </c>
    </row>
    <row r="876" spans="1:14" x14ac:dyDescent="0.35">
      <c r="A876" t="s">
        <v>888</v>
      </c>
      <c r="B876" t="s">
        <v>4434</v>
      </c>
      <c r="C876" t="s">
        <v>2084</v>
      </c>
      <c r="D876" s="3" t="s">
        <v>2406</v>
      </c>
      <c r="E876">
        <v>2</v>
      </c>
      <c r="F876">
        <v>488.9</v>
      </c>
      <c r="G876" t="s">
        <v>2886</v>
      </c>
      <c r="H876" s="3" t="s">
        <v>3069</v>
      </c>
      <c r="I876" s="3" t="s">
        <v>3073</v>
      </c>
      <c r="J876" t="s">
        <v>3949</v>
      </c>
      <c r="K876">
        <v>7</v>
      </c>
      <c r="L876" t="s">
        <v>4276</v>
      </c>
      <c r="M876" s="3" t="s">
        <v>4281</v>
      </c>
      <c r="N876">
        <v>977.8</v>
      </c>
    </row>
    <row r="877" spans="1:14" x14ac:dyDescent="0.35">
      <c r="A877" t="s">
        <v>889</v>
      </c>
      <c r="B877" t="s">
        <v>4851</v>
      </c>
      <c r="C877" t="s">
        <v>2085</v>
      </c>
      <c r="D877" s="3" t="s">
        <v>2408</v>
      </c>
      <c r="E877">
        <v>5</v>
      </c>
      <c r="F877">
        <v>133.38999999999999</v>
      </c>
      <c r="G877" t="s">
        <v>2496</v>
      </c>
      <c r="H877" s="3" t="s">
        <v>3067</v>
      </c>
      <c r="I877" s="3" t="s">
        <v>3073</v>
      </c>
      <c r="J877" t="s">
        <v>3950</v>
      </c>
      <c r="K877">
        <v>6</v>
      </c>
      <c r="L877" t="s">
        <v>4276</v>
      </c>
      <c r="M877" s="3" t="s">
        <v>4279</v>
      </c>
      <c r="N877">
        <v>666.95</v>
      </c>
    </row>
    <row r="878" spans="1:14" x14ac:dyDescent="0.35">
      <c r="A878" t="s">
        <v>890</v>
      </c>
      <c r="B878" t="s">
        <v>4694</v>
      </c>
      <c r="C878" t="s">
        <v>2086</v>
      </c>
      <c r="D878" s="3" t="s">
        <v>2406</v>
      </c>
      <c r="E878">
        <v>5</v>
      </c>
      <c r="F878">
        <v>608.91</v>
      </c>
      <c r="G878" t="s">
        <v>2900</v>
      </c>
      <c r="H878" s="3" t="s">
        <v>3068</v>
      </c>
      <c r="I878" s="3" t="s">
        <v>3074</v>
      </c>
      <c r="J878" t="s">
        <v>3951</v>
      </c>
      <c r="K878">
        <v>6</v>
      </c>
      <c r="L878" t="s">
        <v>4275</v>
      </c>
      <c r="M878" s="3" t="s">
        <v>4282</v>
      </c>
      <c r="N878">
        <v>3044.55</v>
      </c>
    </row>
    <row r="879" spans="1:14" x14ac:dyDescent="0.35">
      <c r="A879" t="s">
        <v>891</v>
      </c>
      <c r="B879" t="s">
        <v>4852</v>
      </c>
      <c r="C879" t="s">
        <v>2087</v>
      </c>
      <c r="D879" s="3" t="s">
        <v>2405</v>
      </c>
      <c r="E879">
        <v>1</v>
      </c>
      <c r="F879">
        <v>524.05999999999995</v>
      </c>
      <c r="G879" t="s">
        <v>2847</v>
      </c>
      <c r="H879" s="3" t="s">
        <v>3065</v>
      </c>
      <c r="I879" s="3" t="s">
        <v>3074</v>
      </c>
      <c r="J879" t="s">
        <v>3952</v>
      </c>
      <c r="K879">
        <v>3</v>
      </c>
      <c r="L879" t="s">
        <v>4276</v>
      </c>
      <c r="M879" s="3" t="s">
        <v>4280</v>
      </c>
      <c r="N879">
        <v>524.05999999999995</v>
      </c>
    </row>
    <row r="880" spans="1:14" x14ac:dyDescent="0.35">
      <c r="A880" t="s">
        <v>892</v>
      </c>
      <c r="B880" t="s">
        <v>4853</v>
      </c>
      <c r="C880" t="s">
        <v>2088</v>
      </c>
      <c r="D880" s="3" t="s">
        <v>2409</v>
      </c>
      <c r="E880">
        <v>2</v>
      </c>
      <c r="F880">
        <v>330.69</v>
      </c>
      <c r="G880" t="s">
        <v>2965</v>
      </c>
      <c r="H880" s="3" t="s">
        <v>3066</v>
      </c>
      <c r="I880" s="3" t="s">
        <v>3071</v>
      </c>
      <c r="J880" t="s">
        <v>3953</v>
      </c>
      <c r="K880">
        <v>5</v>
      </c>
      <c r="L880" t="s">
        <v>4275</v>
      </c>
      <c r="M880" s="3" t="s">
        <v>4282</v>
      </c>
      <c r="N880">
        <v>661.38</v>
      </c>
    </row>
    <row r="881" spans="1:14" x14ac:dyDescent="0.35">
      <c r="A881" t="s">
        <v>893</v>
      </c>
      <c r="B881" t="s">
        <v>4712</v>
      </c>
      <c r="C881" t="s">
        <v>2089</v>
      </c>
      <c r="D881" s="3" t="s">
        <v>2404</v>
      </c>
      <c r="E881">
        <v>2</v>
      </c>
      <c r="F881">
        <v>547.66999999999996</v>
      </c>
      <c r="G881" t="s">
        <v>2817</v>
      </c>
      <c r="H881" s="3" t="s">
        <v>3068</v>
      </c>
      <c r="I881" s="3" t="s">
        <v>3070</v>
      </c>
      <c r="J881" t="s">
        <v>3954</v>
      </c>
      <c r="K881">
        <v>3</v>
      </c>
      <c r="L881" t="s">
        <v>4292</v>
      </c>
      <c r="M881" s="3" t="s">
        <v>4278</v>
      </c>
      <c r="N881">
        <v>1095.3399999999999</v>
      </c>
    </row>
    <row r="882" spans="1:14" x14ac:dyDescent="0.35">
      <c r="A882" t="s">
        <v>894</v>
      </c>
      <c r="B882" t="s">
        <v>4779</v>
      </c>
      <c r="C882" t="s">
        <v>2090</v>
      </c>
      <c r="D882" s="3" t="s">
        <v>2408</v>
      </c>
      <c r="E882">
        <v>4</v>
      </c>
      <c r="F882">
        <v>233.7</v>
      </c>
      <c r="G882" t="s">
        <v>2620</v>
      </c>
      <c r="H882" s="3" t="s">
        <v>3066</v>
      </c>
      <c r="I882" s="3" t="s">
        <v>3070</v>
      </c>
      <c r="J882" t="s">
        <v>3955</v>
      </c>
      <c r="K882">
        <v>8</v>
      </c>
      <c r="L882" t="s">
        <v>4275</v>
      </c>
      <c r="M882" s="3" t="s">
        <v>4281</v>
      </c>
      <c r="N882">
        <v>934.8</v>
      </c>
    </row>
    <row r="883" spans="1:14" x14ac:dyDescent="0.35">
      <c r="A883" t="s">
        <v>895</v>
      </c>
      <c r="B883" t="s">
        <v>4854</v>
      </c>
      <c r="C883" t="s">
        <v>2091</v>
      </c>
      <c r="D883" s="3" t="s">
        <v>2405</v>
      </c>
      <c r="E883">
        <v>2</v>
      </c>
      <c r="F883">
        <v>448.85</v>
      </c>
      <c r="G883" t="s">
        <v>2966</v>
      </c>
      <c r="H883" s="3" t="s">
        <v>3067</v>
      </c>
      <c r="I883" s="3" t="s">
        <v>3074</v>
      </c>
      <c r="J883" t="s">
        <v>3956</v>
      </c>
      <c r="K883">
        <v>6</v>
      </c>
      <c r="L883" t="s">
        <v>4292</v>
      </c>
      <c r="M883" s="3" t="s">
        <v>4278</v>
      </c>
      <c r="N883">
        <v>897.7</v>
      </c>
    </row>
    <row r="884" spans="1:14" x14ac:dyDescent="0.35">
      <c r="A884" t="s">
        <v>896</v>
      </c>
      <c r="B884" t="s">
        <v>4448</v>
      </c>
      <c r="C884" t="s">
        <v>2092</v>
      </c>
      <c r="D884" s="3" t="s">
        <v>2404</v>
      </c>
      <c r="E884">
        <v>2</v>
      </c>
      <c r="F884">
        <v>274.12</v>
      </c>
      <c r="G884" t="s">
        <v>2501</v>
      </c>
      <c r="H884" s="3" t="s">
        <v>3069</v>
      </c>
      <c r="I884" s="3" t="s">
        <v>3073</v>
      </c>
      <c r="J884" t="s">
        <v>3957</v>
      </c>
      <c r="K884">
        <v>6</v>
      </c>
      <c r="L884" t="s">
        <v>4276</v>
      </c>
      <c r="M884" s="3" t="s">
        <v>4279</v>
      </c>
      <c r="N884">
        <v>548.24</v>
      </c>
    </row>
    <row r="885" spans="1:14" x14ac:dyDescent="0.35">
      <c r="A885" t="s">
        <v>897</v>
      </c>
      <c r="B885" t="s">
        <v>4841</v>
      </c>
      <c r="C885" t="s">
        <v>2093</v>
      </c>
      <c r="D885" s="3" t="s">
        <v>2407</v>
      </c>
      <c r="E885">
        <v>5</v>
      </c>
      <c r="F885">
        <v>561.48</v>
      </c>
      <c r="G885" t="s">
        <v>2967</v>
      </c>
      <c r="H885" s="3" t="s">
        <v>3066</v>
      </c>
      <c r="I885" s="3" t="s">
        <v>3073</v>
      </c>
      <c r="J885" t="s">
        <v>3958</v>
      </c>
      <c r="K885">
        <v>9</v>
      </c>
      <c r="L885" t="s">
        <v>4276</v>
      </c>
      <c r="M885" s="3" t="s">
        <v>4281</v>
      </c>
      <c r="N885">
        <v>2807.4</v>
      </c>
    </row>
    <row r="886" spans="1:14" x14ac:dyDescent="0.35">
      <c r="A886" t="s">
        <v>898</v>
      </c>
      <c r="B886" t="s">
        <v>4855</v>
      </c>
      <c r="C886" t="s">
        <v>2094</v>
      </c>
      <c r="D886" s="3" t="s">
        <v>2406</v>
      </c>
      <c r="E886">
        <v>1</v>
      </c>
      <c r="F886">
        <v>595.54</v>
      </c>
      <c r="G886" t="s">
        <v>2968</v>
      </c>
      <c r="H886" s="3" t="s">
        <v>3068</v>
      </c>
      <c r="I886" s="3" t="s">
        <v>3070</v>
      </c>
      <c r="J886" t="s">
        <v>3959</v>
      </c>
      <c r="K886">
        <v>4</v>
      </c>
      <c r="L886" t="s">
        <v>4292</v>
      </c>
      <c r="M886" s="3" t="s">
        <v>4278</v>
      </c>
      <c r="N886">
        <v>595.54</v>
      </c>
    </row>
    <row r="887" spans="1:14" x14ac:dyDescent="0.35">
      <c r="A887" t="s">
        <v>899</v>
      </c>
      <c r="B887" t="s">
        <v>4442</v>
      </c>
      <c r="C887" t="s">
        <v>2095</v>
      </c>
      <c r="D887" s="3" t="s">
        <v>2408</v>
      </c>
      <c r="E887">
        <v>4</v>
      </c>
      <c r="F887">
        <v>515.59</v>
      </c>
      <c r="G887" t="s">
        <v>2969</v>
      </c>
      <c r="H887" s="3" t="s">
        <v>3067</v>
      </c>
      <c r="I887" s="3" t="s">
        <v>3070</v>
      </c>
      <c r="J887" t="s">
        <v>3960</v>
      </c>
      <c r="K887">
        <v>7</v>
      </c>
      <c r="L887" t="s">
        <v>4276</v>
      </c>
      <c r="M887" s="3" t="s">
        <v>4282</v>
      </c>
      <c r="N887">
        <v>2062.36</v>
      </c>
    </row>
    <row r="888" spans="1:14" x14ac:dyDescent="0.35">
      <c r="A888" t="s">
        <v>900</v>
      </c>
      <c r="B888" t="s">
        <v>4669</v>
      </c>
      <c r="C888" t="s">
        <v>2096</v>
      </c>
      <c r="D888" s="3" t="s">
        <v>2404</v>
      </c>
      <c r="E888">
        <v>1</v>
      </c>
      <c r="F888">
        <v>460.13</v>
      </c>
      <c r="G888" t="s">
        <v>2970</v>
      </c>
      <c r="H888" s="3" t="s">
        <v>3067</v>
      </c>
      <c r="I888" s="3" t="s">
        <v>3072</v>
      </c>
      <c r="J888" t="s">
        <v>3961</v>
      </c>
      <c r="K888">
        <v>1</v>
      </c>
      <c r="L888" t="s">
        <v>4292</v>
      </c>
      <c r="M888" s="3" t="s">
        <v>4282</v>
      </c>
      <c r="N888">
        <v>460.13</v>
      </c>
    </row>
    <row r="889" spans="1:14" x14ac:dyDescent="0.35">
      <c r="A889" t="s">
        <v>901</v>
      </c>
      <c r="B889" t="s">
        <v>4320</v>
      </c>
      <c r="C889" t="s">
        <v>2097</v>
      </c>
      <c r="D889" s="3" t="s">
        <v>2406</v>
      </c>
      <c r="E889">
        <v>3</v>
      </c>
      <c r="F889">
        <v>171.66</v>
      </c>
      <c r="G889" t="s">
        <v>2971</v>
      </c>
      <c r="H889" s="3" t="s">
        <v>3065</v>
      </c>
      <c r="I889" s="3" t="s">
        <v>3073</v>
      </c>
      <c r="J889" t="s">
        <v>3962</v>
      </c>
      <c r="K889">
        <v>7</v>
      </c>
      <c r="L889" t="s">
        <v>4292</v>
      </c>
      <c r="M889" s="3" t="s">
        <v>4282</v>
      </c>
      <c r="N889">
        <v>514.98</v>
      </c>
    </row>
    <row r="890" spans="1:14" x14ac:dyDescent="0.35">
      <c r="A890" t="s">
        <v>902</v>
      </c>
      <c r="B890" t="s">
        <v>4856</v>
      </c>
      <c r="C890" t="s">
        <v>2098</v>
      </c>
      <c r="D890" s="3" t="s">
        <v>2408</v>
      </c>
      <c r="E890">
        <v>2</v>
      </c>
      <c r="F890">
        <v>266.95</v>
      </c>
      <c r="G890" t="s">
        <v>2972</v>
      </c>
      <c r="H890" s="3" t="s">
        <v>3067</v>
      </c>
      <c r="I890" s="3" t="s">
        <v>3074</v>
      </c>
      <c r="J890" t="s">
        <v>3963</v>
      </c>
      <c r="K890">
        <v>3</v>
      </c>
      <c r="L890" t="s">
        <v>4292</v>
      </c>
      <c r="M890" s="3" t="s">
        <v>4278</v>
      </c>
      <c r="N890">
        <v>533.9</v>
      </c>
    </row>
    <row r="891" spans="1:14" x14ac:dyDescent="0.35">
      <c r="A891" t="s">
        <v>903</v>
      </c>
      <c r="B891" t="s">
        <v>4529</v>
      </c>
      <c r="C891" t="s">
        <v>2099</v>
      </c>
      <c r="D891" s="3" t="s">
        <v>2403</v>
      </c>
      <c r="E891">
        <v>5</v>
      </c>
      <c r="F891">
        <v>650.72</v>
      </c>
      <c r="G891" t="s">
        <v>2973</v>
      </c>
      <c r="H891" s="3" t="s">
        <v>3067</v>
      </c>
      <c r="I891" s="3" t="s">
        <v>3071</v>
      </c>
      <c r="J891" t="s">
        <v>3964</v>
      </c>
      <c r="K891">
        <v>8</v>
      </c>
      <c r="L891" t="s">
        <v>4277</v>
      </c>
      <c r="M891" s="3" t="s">
        <v>4280</v>
      </c>
      <c r="N891">
        <v>3253.6</v>
      </c>
    </row>
    <row r="892" spans="1:14" x14ac:dyDescent="0.35">
      <c r="A892" t="s">
        <v>904</v>
      </c>
      <c r="B892" t="s">
        <v>4462</v>
      </c>
      <c r="C892" t="s">
        <v>2100</v>
      </c>
      <c r="D892" s="3" t="s">
        <v>2408</v>
      </c>
      <c r="E892">
        <v>3</v>
      </c>
      <c r="F892">
        <v>439.53</v>
      </c>
      <c r="G892" t="s">
        <v>2781</v>
      </c>
      <c r="H892" s="3" t="s">
        <v>3065</v>
      </c>
      <c r="I892" s="3" t="s">
        <v>3074</v>
      </c>
      <c r="J892" t="s">
        <v>3965</v>
      </c>
      <c r="K892">
        <v>5</v>
      </c>
      <c r="L892" t="s">
        <v>4292</v>
      </c>
      <c r="M892" s="3" t="s">
        <v>4282</v>
      </c>
      <c r="N892">
        <v>1318.59</v>
      </c>
    </row>
    <row r="893" spans="1:14" x14ac:dyDescent="0.35">
      <c r="A893" t="s">
        <v>905</v>
      </c>
      <c r="B893" t="s">
        <v>4717</v>
      </c>
      <c r="C893" t="s">
        <v>2101</v>
      </c>
      <c r="D893" s="3" t="s">
        <v>2403</v>
      </c>
      <c r="E893">
        <v>3</v>
      </c>
      <c r="F893">
        <v>654.54</v>
      </c>
      <c r="G893" t="s">
        <v>2974</v>
      </c>
      <c r="H893" s="3" t="s">
        <v>3069</v>
      </c>
      <c r="I893" s="3" t="s">
        <v>3072</v>
      </c>
      <c r="J893" t="s">
        <v>3966</v>
      </c>
      <c r="K893">
        <v>7</v>
      </c>
      <c r="L893" t="s">
        <v>4275</v>
      </c>
      <c r="M893" s="3" t="s">
        <v>4279</v>
      </c>
      <c r="N893">
        <v>1963.62</v>
      </c>
    </row>
    <row r="894" spans="1:14" x14ac:dyDescent="0.35">
      <c r="A894" t="s">
        <v>906</v>
      </c>
      <c r="B894" t="s">
        <v>4857</v>
      </c>
      <c r="C894" t="s">
        <v>2102</v>
      </c>
      <c r="D894" s="3" t="s">
        <v>2409</v>
      </c>
      <c r="E894">
        <v>1</v>
      </c>
      <c r="F894">
        <v>394.53</v>
      </c>
      <c r="G894" t="s">
        <v>2975</v>
      </c>
      <c r="H894" s="3" t="s">
        <v>3069</v>
      </c>
      <c r="I894" s="3" t="s">
        <v>3070</v>
      </c>
      <c r="J894" t="s">
        <v>3967</v>
      </c>
      <c r="K894">
        <v>2</v>
      </c>
      <c r="L894" t="s">
        <v>4276</v>
      </c>
      <c r="M894" s="3" t="s">
        <v>4279</v>
      </c>
      <c r="N894">
        <v>394.53</v>
      </c>
    </row>
    <row r="895" spans="1:14" x14ac:dyDescent="0.35">
      <c r="A895" t="s">
        <v>907</v>
      </c>
      <c r="B895" t="s">
        <v>4858</v>
      </c>
      <c r="C895" t="s">
        <v>2103</v>
      </c>
      <c r="D895" s="3" t="s">
        <v>2403</v>
      </c>
      <c r="E895">
        <v>1</v>
      </c>
      <c r="F895">
        <v>678.01</v>
      </c>
      <c r="G895" t="s">
        <v>2796</v>
      </c>
      <c r="H895" s="3" t="s">
        <v>3069</v>
      </c>
      <c r="I895" s="3" t="s">
        <v>3074</v>
      </c>
      <c r="J895" t="s">
        <v>3968</v>
      </c>
      <c r="K895">
        <v>4</v>
      </c>
      <c r="L895" t="s">
        <v>4276</v>
      </c>
      <c r="M895" s="3" t="s">
        <v>4279</v>
      </c>
      <c r="N895">
        <v>678.01</v>
      </c>
    </row>
    <row r="896" spans="1:14" x14ac:dyDescent="0.35">
      <c r="A896" t="s">
        <v>908</v>
      </c>
      <c r="B896" t="s">
        <v>4859</v>
      </c>
      <c r="C896" t="s">
        <v>2104</v>
      </c>
      <c r="D896" s="3" t="s">
        <v>2405</v>
      </c>
      <c r="E896">
        <v>3</v>
      </c>
      <c r="F896">
        <v>575.01</v>
      </c>
      <c r="G896" t="s">
        <v>2811</v>
      </c>
      <c r="H896" s="3" t="s">
        <v>3066</v>
      </c>
      <c r="I896" s="3" t="s">
        <v>3071</v>
      </c>
      <c r="J896" t="s">
        <v>3969</v>
      </c>
      <c r="K896">
        <v>8</v>
      </c>
      <c r="L896" t="s">
        <v>4277</v>
      </c>
      <c r="M896" s="3" t="s">
        <v>4278</v>
      </c>
      <c r="N896">
        <v>1725.03</v>
      </c>
    </row>
    <row r="897" spans="1:14" x14ac:dyDescent="0.35">
      <c r="A897" t="s">
        <v>909</v>
      </c>
      <c r="B897" t="s">
        <v>4860</v>
      </c>
      <c r="C897" t="s">
        <v>2105</v>
      </c>
      <c r="D897" s="3" t="s">
        <v>2406</v>
      </c>
      <c r="E897">
        <v>3</v>
      </c>
      <c r="F897">
        <v>154.63999999999999</v>
      </c>
      <c r="G897" t="s">
        <v>2976</v>
      </c>
      <c r="H897" s="3" t="s">
        <v>3065</v>
      </c>
      <c r="I897" s="3" t="s">
        <v>3074</v>
      </c>
      <c r="J897" t="s">
        <v>3970</v>
      </c>
      <c r="K897">
        <v>6</v>
      </c>
      <c r="L897" t="s">
        <v>4277</v>
      </c>
      <c r="M897" s="3" t="s">
        <v>4281</v>
      </c>
      <c r="N897">
        <v>463.92</v>
      </c>
    </row>
    <row r="898" spans="1:14" x14ac:dyDescent="0.35">
      <c r="A898" t="s">
        <v>910</v>
      </c>
      <c r="B898" t="s">
        <v>4550</v>
      </c>
      <c r="C898" t="s">
        <v>2106</v>
      </c>
      <c r="D898" s="3" t="s">
        <v>2409</v>
      </c>
      <c r="E898">
        <v>3</v>
      </c>
      <c r="F898">
        <v>147.29</v>
      </c>
      <c r="G898" t="s">
        <v>2419</v>
      </c>
      <c r="H898" s="3" t="s">
        <v>3068</v>
      </c>
      <c r="I898" s="3" t="s">
        <v>3070</v>
      </c>
      <c r="J898" t="s">
        <v>3971</v>
      </c>
      <c r="K898">
        <v>3</v>
      </c>
      <c r="L898" t="s">
        <v>4276</v>
      </c>
      <c r="M898" s="3" t="s">
        <v>4282</v>
      </c>
      <c r="N898">
        <v>441.87</v>
      </c>
    </row>
    <row r="899" spans="1:14" x14ac:dyDescent="0.35">
      <c r="A899" t="s">
        <v>911</v>
      </c>
      <c r="B899" t="s">
        <v>4743</v>
      </c>
      <c r="C899" t="s">
        <v>2107</v>
      </c>
      <c r="D899" s="3" t="s">
        <v>2408</v>
      </c>
      <c r="E899">
        <v>4</v>
      </c>
      <c r="F899">
        <v>481.48</v>
      </c>
      <c r="G899" t="s">
        <v>2589</v>
      </c>
      <c r="H899" s="3" t="s">
        <v>3068</v>
      </c>
      <c r="I899" s="3" t="s">
        <v>3073</v>
      </c>
      <c r="J899" t="s">
        <v>3972</v>
      </c>
      <c r="K899">
        <v>5</v>
      </c>
      <c r="L899" t="s">
        <v>4275</v>
      </c>
      <c r="M899" s="3" t="s">
        <v>4278</v>
      </c>
      <c r="N899">
        <v>1925.92</v>
      </c>
    </row>
    <row r="900" spans="1:14" x14ac:dyDescent="0.35">
      <c r="A900" t="s">
        <v>912</v>
      </c>
      <c r="B900" t="s">
        <v>4660</v>
      </c>
      <c r="C900" t="s">
        <v>2108</v>
      </c>
      <c r="D900" s="3" t="s">
        <v>2403</v>
      </c>
      <c r="E900">
        <v>3</v>
      </c>
      <c r="F900">
        <v>158.37</v>
      </c>
      <c r="G900" t="s">
        <v>2950</v>
      </c>
      <c r="H900" s="3" t="s">
        <v>3069</v>
      </c>
      <c r="I900" s="3" t="s">
        <v>3070</v>
      </c>
      <c r="J900" t="s">
        <v>3973</v>
      </c>
      <c r="K900">
        <v>6</v>
      </c>
      <c r="L900" t="s">
        <v>4292</v>
      </c>
      <c r="M900" s="3" t="s">
        <v>4279</v>
      </c>
      <c r="N900">
        <v>475.11</v>
      </c>
    </row>
    <row r="901" spans="1:14" x14ac:dyDescent="0.35">
      <c r="A901" t="s">
        <v>913</v>
      </c>
      <c r="B901" t="s">
        <v>4861</v>
      </c>
      <c r="C901" t="s">
        <v>2109</v>
      </c>
      <c r="D901" s="3" t="s">
        <v>2407</v>
      </c>
      <c r="E901">
        <v>2</v>
      </c>
      <c r="F901">
        <v>323.37</v>
      </c>
      <c r="G901" t="s">
        <v>2474</v>
      </c>
      <c r="H901" s="3" t="s">
        <v>3066</v>
      </c>
      <c r="I901" s="3" t="s">
        <v>3074</v>
      </c>
      <c r="J901" t="s">
        <v>3974</v>
      </c>
      <c r="K901">
        <v>3</v>
      </c>
      <c r="L901" t="s">
        <v>4275</v>
      </c>
      <c r="M901" s="3" t="s">
        <v>4278</v>
      </c>
      <c r="N901">
        <v>646.74</v>
      </c>
    </row>
    <row r="902" spans="1:14" x14ac:dyDescent="0.35">
      <c r="A902" t="s">
        <v>914</v>
      </c>
      <c r="B902" t="s">
        <v>4776</v>
      </c>
      <c r="C902" t="s">
        <v>2110</v>
      </c>
      <c r="D902" s="3" t="s">
        <v>2408</v>
      </c>
      <c r="E902">
        <v>5</v>
      </c>
      <c r="F902">
        <v>73.83</v>
      </c>
      <c r="G902" t="s">
        <v>2802</v>
      </c>
      <c r="H902" s="3" t="s">
        <v>3065</v>
      </c>
      <c r="I902" s="3" t="s">
        <v>3074</v>
      </c>
      <c r="J902" t="s">
        <v>3975</v>
      </c>
      <c r="K902">
        <v>9</v>
      </c>
      <c r="L902" t="s">
        <v>4292</v>
      </c>
      <c r="M902" s="3" t="s">
        <v>4278</v>
      </c>
      <c r="N902">
        <v>369.15</v>
      </c>
    </row>
    <row r="903" spans="1:14" x14ac:dyDescent="0.35">
      <c r="A903" t="s">
        <v>915</v>
      </c>
      <c r="B903" t="s">
        <v>4862</v>
      </c>
      <c r="C903" t="s">
        <v>2111</v>
      </c>
      <c r="D903" s="3" t="s">
        <v>2405</v>
      </c>
      <c r="E903">
        <v>1</v>
      </c>
      <c r="F903">
        <v>458.63</v>
      </c>
      <c r="G903" t="s">
        <v>2499</v>
      </c>
      <c r="H903" s="3" t="s">
        <v>3065</v>
      </c>
      <c r="I903" s="3" t="s">
        <v>3072</v>
      </c>
      <c r="J903" t="s">
        <v>3976</v>
      </c>
      <c r="K903">
        <v>4</v>
      </c>
      <c r="L903" t="s">
        <v>4277</v>
      </c>
      <c r="M903" s="3" t="s">
        <v>4279</v>
      </c>
      <c r="N903">
        <v>458.63</v>
      </c>
    </row>
    <row r="904" spans="1:14" x14ac:dyDescent="0.35">
      <c r="A904" t="s">
        <v>916</v>
      </c>
      <c r="B904" t="s">
        <v>4863</v>
      </c>
      <c r="C904" t="s">
        <v>2112</v>
      </c>
      <c r="D904" s="3" t="s">
        <v>2403</v>
      </c>
      <c r="E904">
        <v>4</v>
      </c>
      <c r="F904">
        <v>180.25</v>
      </c>
      <c r="G904" t="s">
        <v>2469</v>
      </c>
      <c r="H904" s="3" t="s">
        <v>3065</v>
      </c>
      <c r="I904" s="3" t="s">
        <v>3071</v>
      </c>
      <c r="J904" t="s">
        <v>3977</v>
      </c>
      <c r="K904">
        <v>7</v>
      </c>
      <c r="L904" t="s">
        <v>4292</v>
      </c>
      <c r="M904" s="3" t="s">
        <v>4281</v>
      </c>
      <c r="N904">
        <v>721</v>
      </c>
    </row>
    <row r="905" spans="1:14" x14ac:dyDescent="0.35">
      <c r="A905" t="s">
        <v>917</v>
      </c>
      <c r="B905" t="s">
        <v>4493</v>
      </c>
      <c r="C905" t="s">
        <v>2113</v>
      </c>
      <c r="D905" s="3" t="s">
        <v>2403</v>
      </c>
      <c r="E905">
        <v>3</v>
      </c>
      <c r="F905">
        <v>473.49</v>
      </c>
      <c r="G905" t="s">
        <v>2932</v>
      </c>
      <c r="H905" s="3" t="s">
        <v>3067</v>
      </c>
      <c r="I905" s="3" t="s">
        <v>3074</v>
      </c>
      <c r="J905" t="s">
        <v>3978</v>
      </c>
      <c r="K905">
        <v>7</v>
      </c>
      <c r="L905" t="s">
        <v>4292</v>
      </c>
      <c r="M905" s="3" t="s">
        <v>4280</v>
      </c>
      <c r="N905">
        <v>1420.47</v>
      </c>
    </row>
    <row r="906" spans="1:14" x14ac:dyDescent="0.35">
      <c r="A906" t="s">
        <v>918</v>
      </c>
      <c r="B906" t="s">
        <v>4864</v>
      </c>
      <c r="C906" t="s">
        <v>2114</v>
      </c>
      <c r="D906" s="3" t="s">
        <v>2403</v>
      </c>
      <c r="E906">
        <v>4</v>
      </c>
      <c r="F906">
        <v>237.43</v>
      </c>
      <c r="G906" t="s">
        <v>2758</v>
      </c>
      <c r="H906" s="3" t="s">
        <v>3069</v>
      </c>
      <c r="I906" s="3" t="s">
        <v>3071</v>
      </c>
      <c r="J906" t="s">
        <v>3979</v>
      </c>
      <c r="K906">
        <v>8</v>
      </c>
      <c r="L906" t="s">
        <v>4277</v>
      </c>
      <c r="M906" s="3" t="s">
        <v>4279</v>
      </c>
      <c r="N906">
        <v>949.72</v>
      </c>
    </row>
    <row r="907" spans="1:14" x14ac:dyDescent="0.35">
      <c r="A907" t="s">
        <v>919</v>
      </c>
      <c r="B907" t="s">
        <v>4865</v>
      </c>
      <c r="C907" t="s">
        <v>2115</v>
      </c>
      <c r="D907" s="3" t="s">
        <v>2408</v>
      </c>
      <c r="E907">
        <v>1</v>
      </c>
      <c r="F907">
        <v>442.39</v>
      </c>
      <c r="G907" t="s">
        <v>2677</v>
      </c>
      <c r="H907" s="3" t="s">
        <v>3068</v>
      </c>
      <c r="I907" s="3" t="s">
        <v>3074</v>
      </c>
      <c r="J907" t="s">
        <v>3980</v>
      </c>
      <c r="K907">
        <v>6</v>
      </c>
      <c r="L907" t="s">
        <v>4276</v>
      </c>
      <c r="M907" s="3" t="s">
        <v>4281</v>
      </c>
      <c r="N907">
        <v>442.39</v>
      </c>
    </row>
    <row r="908" spans="1:14" x14ac:dyDescent="0.35">
      <c r="A908" t="s">
        <v>920</v>
      </c>
      <c r="B908" t="s">
        <v>4743</v>
      </c>
      <c r="C908" t="s">
        <v>2116</v>
      </c>
      <c r="D908" s="3" t="s">
        <v>2403</v>
      </c>
      <c r="E908">
        <v>1</v>
      </c>
      <c r="F908">
        <v>62.12</v>
      </c>
      <c r="G908" t="s">
        <v>2977</v>
      </c>
      <c r="H908" s="3" t="s">
        <v>3069</v>
      </c>
      <c r="I908" s="3" t="s">
        <v>3072</v>
      </c>
      <c r="J908" t="s">
        <v>3981</v>
      </c>
      <c r="K908">
        <v>2</v>
      </c>
      <c r="L908" t="s">
        <v>4292</v>
      </c>
      <c r="M908" s="3" t="s">
        <v>4280</v>
      </c>
      <c r="N908">
        <v>62.12</v>
      </c>
    </row>
    <row r="909" spans="1:14" x14ac:dyDescent="0.35">
      <c r="A909" t="s">
        <v>921</v>
      </c>
      <c r="B909" t="s">
        <v>4832</v>
      </c>
      <c r="C909" t="s">
        <v>2117</v>
      </c>
      <c r="D909" s="3" t="s">
        <v>2409</v>
      </c>
      <c r="E909">
        <v>5</v>
      </c>
      <c r="F909">
        <v>298.39</v>
      </c>
      <c r="G909" t="s">
        <v>2534</v>
      </c>
      <c r="H909" s="3" t="s">
        <v>3068</v>
      </c>
      <c r="I909" s="3" t="s">
        <v>3071</v>
      </c>
      <c r="J909" t="s">
        <v>3982</v>
      </c>
      <c r="K909">
        <v>7</v>
      </c>
      <c r="L909" t="s">
        <v>4277</v>
      </c>
      <c r="M909" s="3" t="s">
        <v>4279</v>
      </c>
      <c r="N909">
        <v>1491.95</v>
      </c>
    </row>
    <row r="910" spans="1:14" x14ac:dyDescent="0.35">
      <c r="A910" t="s">
        <v>922</v>
      </c>
      <c r="B910" t="s">
        <v>4422</v>
      </c>
      <c r="C910" t="s">
        <v>2118</v>
      </c>
      <c r="D910" s="3" t="s">
        <v>2409</v>
      </c>
      <c r="E910">
        <v>2</v>
      </c>
      <c r="F910">
        <v>697.93</v>
      </c>
      <c r="G910" t="s">
        <v>2567</v>
      </c>
      <c r="H910" s="3" t="s">
        <v>3067</v>
      </c>
      <c r="I910" s="3" t="s">
        <v>3071</v>
      </c>
      <c r="J910" t="s">
        <v>3983</v>
      </c>
      <c r="K910">
        <v>2</v>
      </c>
      <c r="L910" t="s">
        <v>4275</v>
      </c>
      <c r="M910" s="3" t="s">
        <v>4282</v>
      </c>
      <c r="N910">
        <v>1395.86</v>
      </c>
    </row>
    <row r="911" spans="1:14" x14ac:dyDescent="0.35">
      <c r="A911" t="s">
        <v>923</v>
      </c>
      <c r="B911" t="s">
        <v>4866</v>
      </c>
      <c r="C911" t="s">
        <v>2119</v>
      </c>
      <c r="D911" s="3" t="s">
        <v>2405</v>
      </c>
      <c r="E911">
        <v>2</v>
      </c>
      <c r="F911">
        <v>291.85000000000002</v>
      </c>
      <c r="G911" t="s">
        <v>2431</v>
      </c>
      <c r="H911" s="3" t="s">
        <v>3069</v>
      </c>
      <c r="I911" s="3" t="s">
        <v>3070</v>
      </c>
      <c r="J911" t="s">
        <v>3984</v>
      </c>
      <c r="K911">
        <v>5</v>
      </c>
      <c r="L911" t="s">
        <v>4276</v>
      </c>
      <c r="M911" s="3" t="s">
        <v>4278</v>
      </c>
      <c r="N911">
        <v>583.70000000000005</v>
      </c>
    </row>
    <row r="912" spans="1:14" x14ac:dyDescent="0.35">
      <c r="A912" t="s">
        <v>924</v>
      </c>
      <c r="B912" t="s">
        <v>4867</v>
      </c>
      <c r="C912" t="s">
        <v>2120</v>
      </c>
      <c r="D912" s="3" t="s">
        <v>2407</v>
      </c>
      <c r="E912">
        <v>3</v>
      </c>
      <c r="F912">
        <v>308.98</v>
      </c>
      <c r="G912" t="s">
        <v>2481</v>
      </c>
      <c r="H912" s="3" t="s">
        <v>3069</v>
      </c>
      <c r="I912" s="3" t="s">
        <v>3073</v>
      </c>
      <c r="J912" t="s">
        <v>3985</v>
      </c>
      <c r="K912">
        <v>3</v>
      </c>
      <c r="L912" t="s">
        <v>4275</v>
      </c>
      <c r="M912" s="3" t="s">
        <v>4278</v>
      </c>
      <c r="N912">
        <v>926.94</v>
      </c>
    </row>
    <row r="913" spans="1:14" x14ac:dyDescent="0.35">
      <c r="A913" t="s">
        <v>925</v>
      </c>
      <c r="B913" t="s">
        <v>4868</v>
      </c>
      <c r="C913" t="s">
        <v>2121</v>
      </c>
      <c r="D913" s="3" t="s">
        <v>2409</v>
      </c>
      <c r="E913">
        <v>5</v>
      </c>
      <c r="F913">
        <v>396.86</v>
      </c>
      <c r="G913" t="s">
        <v>2520</v>
      </c>
      <c r="H913" s="3" t="s">
        <v>3069</v>
      </c>
      <c r="I913" s="3" t="s">
        <v>3071</v>
      </c>
      <c r="J913" t="s">
        <v>3986</v>
      </c>
      <c r="K913">
        <v>9</v>
      </c>
      <c r="L913" t="s">
        <v>4275</v>
      </c>
      <c r="M913" s="3" t="s">
        <v>4278</v>
      </c>
      <c r="N913">
        <v>1984.3</v>
      </c>
    </row>
    <row r="914" spans="1:14" x14ac:dyDescent="0.35">
      <c r="A914" t="s">
        <v>926</v>
      </c>
      <c r="B914" t="s">
        <v>4869</v>
      </c>
      <c r="C914" t="s">
        <v>2122</v>
      </c>
      <c r="D914" s="3" t="s">
        <v>2409</v>
      </c>
      <c r="E914">
        <v>2</v>
      </c>
      <c r="F914">
        <v>139.69</v>
      </c>
      <c r="G914" t="s">
        <v>2492</v>
      </c>
      <c r="H914" s="3" t="s">
        <v>3066</v>
      </c>
      <c r="I914" s="3" t="s">
        <v>3072</v>
      </c>
      <c r="J914" t="s">
        <v>3987</v>
      </c>
      <c r="K914">
        <v>7</v>
      </c>
      <c r="L914" t="s">
        <v>4276</v>
      </c>
      <c r="M914" s="3" t="s">
        <v>4280</v>
      </c>
      <c r="N914">
        <v>279.38</v>
      </c>
    </row>
    <row r="915" spans="1:14" x14ac:dyDescent="0.35">
      <c r="A915" t="s">
        <v>927</v>
      </c>
      <c r="B915" t="s">
        <v>4507</v>
      </c>
      <c r="C915" t="s">
        <v>2123</v>
      </c>
      <c r="D915" s="3" t="s">
        <v>2407</v>
      </c>
      <c r="E915">
        <v>5</v>
      </c>
      <c r="F915">
        <v>475.95</v>
      </c>
      <c r="G915" t="s">
        <v>2583</v>
      </c>
      <c r="H915" s="3" t="s">
        <v>3067</v>
      </c>
      <c r="I915" s="3" t="s">
        <v>3072</v>
      </c>
      <c r="J915" t="s">
        <v>3988</v>
      </c>
      <c r="K915">
        <v>8</v>
      </c>
      <c r="L915" t="s">
        <v>4277</v>
      </c>
      <c r="M915" s="3" t="s">
        <v>4281</v>
      </c>
      <c r="N915">
        <v>2379.75</v>
      </c>
    </row>
    <row r="916" spans="1:14" x14ac:dyDescent="0.35">
      <c r="A916" t="s">
        <v>928</v>
      </c>
      <c r="B916" t="s">
        <v>4725</v>
      </c>
      <c r="C916" t="s">
        <v>2124</v>
      </c>
      <c r="D916" s="3" t="s">
        <v>2409</v>
      </c>
      <c r="E916">
        <v>1</v>
      </c>
      <c r="F916">
        <v>626.6</v>
      </c>
      <c r="G916" t="s">
        <v>2751</v>
      </c>
      <c r="H916" s="3" t="s">
        <v>3068</v>
      </c>
      <c r="I916" s="3" t="s">
        <v>3072</v>
      </c>
      <c r="J916" t="s">
        <v>3989</v>
      </c>
      <c r="K916">
        <v>4</v>
      </c>
      <c r="L916" t="s">
        <v>4277</v>
      </c>
      <c r="M916" s="3" t="s">
        <v>4281</v>
      </c>
      <c r="N916">
        <v>626.6</v>
      </c>
    </row>
    <row r="917" spans="1:14" x14ac:dyDescent="0.35">
      <c r="A917" t="s">
        <v>929</v>
      </c>
      <c r="B917" t="s">
        <v>4870</v>
      </c>
      <c r="C917" t="s">
        <v>2125</v>
      </c>
      <c r="D917" s="3" t="s">
        <v>2408</v>
      </c>
      <c r="E917">
        <v>4</v>
      </c>
      <c r="F917">
        <v>502.99</v>
      </c>
      <c r="G917" t="s">
        <v>2978</v>
      </c>
      <c r="H917" s="3" t="s">
        <v>3065</v>
      </c>
      <c r="I917" s="3" t="s">
        <v>3070</v>
      </c>
      <c r="J917" t="s">
        <v>3990</v>
      </c>
      <c r="K917">
        <v>4</v>
      </c>
      <c r="L917" t="s">
        <v>4277</v>
      </c>
      <c r="M917" s="3" t="s">
        <v>4279</v>
      </c>
      <c r="N917">
        <v>2011.96</v>
      </c>
    </row>
    <row r="918" spans="1:14" x14ac:dyDescent="0.35">
      <c r="A918" t="s">
        <v>930</v>
      </c>
      <c r="B918" t="s">
        <v>4871</v>
      </c>
      <c r="C918" t="s">
        <v>2126</v>
      </c>
      <c r="D918" s="3" t="s">
        <v>2407</v>
      </c>
      <c r="E918">
        <v>5</v>
      </c>
      <c r="F918">
        <v>578.83000000000004</v>
      </c>
      <c r="G918" t="s">
        <v>2913</v>
      </c>
      <c r="H918" s="3" t="s">
        <v>3069</v>
      </c>
      <c r="I918" s="3" t="s">
        <v>3072</v>
      </c>
      <c r="J918" t="s">
        <v>3991</v>
      </c>
      <c r="K918">
        <v>6</v>
      </c>
      <c r="L918" t="s">
        <v>4292</v>
      </c>
      <c r="M918" s="3" t="s">
        <v>4279</v>
      </c>
      <c r="N918">
        <v>2894.15</v>
      </c>
    </row>
    <row r="919" spans="1:14" x14ac:dyDescent="0.35">
      <c r="A919" t="s">
        <v>931</v>
      </c>
      <c r="B919" t="s">
        <v>4872</v>
      </c>
      <c r="C919" t="s">
        <v>2127</v>
      </c>
      <c r="D919" s="3" t="s">
        <v>2408</v>
      </c>
      <c r="E919">
        <v>5</v>
      </c>
      <c r="F919">
        <v>383.82</v>
      </c>
      <c r="G919" t="s">
        <v>2979</v>
      </c>
      <c r="H919" s="3" t="s">
        <v>3067</v>
      </c>
      <c r="I919" s="3" t="s">
        <v>3072</v>
      </c>
      <c r="J919" t="s">
        <v>3992</v>
      </c>
      <c r="K919">
        <v>7</v>
      </c>
      <c r="L919" t="s">
        <v>4276</v>
      </c>
      <c r="M919" s="3" t="s">
        <v>4282</v>
      </c>
      <c r="N919">
        <v>1919.1</v>
      </c>
    </row>
    <row r="920" spans="1:14" x14ac:dyDescent="0.35">
      <c r="A920" t="s">
        <v>932</v>
      </c>
      <c r="B920" t="s">
        <v>4337</v>
      </c>
      <c r="C920" t="s">
        <v>2128</v>
      </c>
      <c r="D920" s="3" t="s">
        <v>2408</v>
      </c>
      <c r="E920">
        <v>5</v>
      </c>
      <c r="F920">
        <v>368.25</v>
      </c>
      <c r="G920" t="s">
        <v>2417</v>
      </c>
      <c r="H920" s="3" t="s">
        <v>3066</v>
      </c>
      <c r="I920" s="3" t="s">
        <v>3073</v>
      </c>
      <c r="J920" t="s">
        <v>3993</v>
      </c>
      <c r="K920">
        <v>5</v>
      </c>
      <c r="L920" t="s">
        <v>4292</v>
      </c>
      <c r="M920" s="3" t="s">
        <v>4278</v>
      </c>
      <c r="N920">
        <v>1841.25</v>
      </c>
    </row>
    <row r="921" spans="1:14" x14ac:dyDescent="0.35">
      <c r="A921" t="s">
        <v>933</v>
      </c>
      <c r="B921" t="s">
        <v>4776</v>
      </c>
      <c r="C921" t="s">
        <v>2129</v>
      </c>
      <c r="D921" s="3" t="s">
        <v>2407</v>
      </c>
      <c r="E921">
        <v>2</v>
      </c>
      <c r="F921">
        <v>374.6</v>
      </c>
      <c r="G921" t="s">
        <v>2522</v>
      </c>
      <c r="H921" s="3" t="s">
        <v>3066</v>
      </c>
      <c r="I921" s="3" t="s">
        <v>3070</v>
      </c>
      <c r="J921" t="s">
        <v>3994</v>
      </c>
      <c r="K921">
        <v>3</v>
      </c>
      <c r="L921" t="s">
        <v>4276</v>
      </c>
      <c r="M921" s="3" t="s">
        <v>4279</v>
      </c>
      <c r="N921">
        <v>749.2</v>
      </c>
    </row>
    <row r="922" spans="1:14" x14ac:dyDescent="0.35">
      <c r="A922" t="s">
        <v>934</v>
      </c>
      <c r="B922" t="s">
        <v>4779</v>
      </c>
      <c r="C922" t="s">
        <v>2130</v>
      </c>
      <c r="D922" s="3" t="s">
        <v>2405</v>
      </c>
      <c r="E922">
        <v>2</v>
      </c>
      <c r="F922">
        <v>428.09</v>
      </c>
      <c r="G922" t="s">
        <v>2674</v>
      </c>
      <c r="H922" s="3" t="s">
        <v>3067</v>
      </c>
      <c r="I922" s="3" t="s">
        <v>3072</v>
      </c>
      <c r="J922" t="s">
        <v>3995</v>
      </c>
      <c r="K922">
        <v>6</v>
      </c>
      <c r="L922" t="s">
        <v>4292</v>
      </c>
      <c r="M922" s="3" t="s">
        <v>4278</v>
      </c>
      <c r="N922">
        <v>856.18</v>
      </c>
    </row>
    <row r="923" spans="1:14" x14ac:dyDescent="0.35">
      <c r="A923" t="s">
        <v>935</v>
      </c>
      <c r="B923" t="s">
        <v>4812</v>
      </c>
      <c r="C923" t="s">
        <v>2131</v>
      </c>
      <c r="D923" s="3" t="s">
        <v>2405</v>
      </c>
      <c r="E923">
        <v>1</v>
      </c>
      <c r="F923">
        <v>438.93</v>
      </c>
      <c r="G923" t="s">
        <v>2980</v>
      </c>
      <c r="H923" s="3" t="s">
        <v>3068</v>
      </c>
      <c r="I923" s="3" t="s">
        <v>3071</v>
      </c>
      <c r="J923" t="s">
        <v>3996</v>
      </c>
      <c r="K923">
        <v>3</v>
      </c>
      <c r="L923" t="s">
        <v>4275</v>
      </c>
      <c r="M923" s="3" t="s">
        <v>4279</v>
      </c>
      <c r="N923">
        <v>438.93</v>
      </c>
    </row>
    <row r="924" spans="1:14" x14ac:dyDescent="0.35">
      <c r="A924" t="s">
        <v>936</v>
      </c>
      <c r="B924" t="s">
        <v>4873</v>
      </c>
      <c r="C924" t="s">
        <v>2132</v>
      </c>
      <c r="D924" s="3" t="s">
        <v>2409</v>
      </c>
      <c r="E924">
        <v>2</v>
      </c>
      <c r="F924">
        <v>563.82000000000005</v>
      </c>
      <c r="G924" t="s">
        <v>2981</v>
      </c>
      <c r="H924" s="3" t="s">
        <v>3067</v>
      </c>
      <c r="I924" s="3" t="s">
        <v>3074</v>
      </c>
      <c r="J924" t="s">
        <v>3997</v>
      </c>
      <c r="K924">
        <v>3</v>
      </c>
      <c r="L924" t="s">
        <v>4292</v>
      </c>
      <c r="M924" s="3" t="s">
        <v>4278</v>
      </c>
      <c r="N924">
        <v>1127.6400000000001</v>
      </c>
    </row>
    <row r="925" spans="1:14" x14ac:dyDescent="0.35">
      <c r="A925" t="s">
        <v>937</v>
      </c>
      <c r="B925" t="s">
        <v>4375</v>
      </c>
      <c r="C925" t="s">
        <v>2133</v>
      </c>
      <c r="D925" s="3" t="s">
        <v>2407</v>
      </c>
      <c r="E925">
        <v>3</v>
      </c>
      <c r="F925">
        <v>649.92999999999995</v>
      </c>
      <c r="G925" t="s">
        <v>2979</v>
      </c>
      <c r="H925" s="3" t="s">
        <v>3067</v>
      </c>
      <c r="I925" s="3" t="s">
        <v>3074</v>
      </c>
      <c r="J925" t="s">
        <v>3998</v>
      </c>
      <c r="K925">
        <v>7</v>
      </c>
      <c r="L925" t="s">
        <v>4277</v>
      </c>
      <c r="M925" s="3" t="s">
        <v>4281</v>
      </c>
      <c r="N925">
        <v>1949.79</v>
      </c>
    </row>
    <row r="926" spans="1:14" x14ac:dyDescent="0.35">
      <c r="A926" t="s">
        <v>938</v>
      </c>
      <c r="B926" t="s">
        <v>4313</v>
      </c>
      <c r="C926" t="s">
        <v>2134</v>
      </c>
      <c r="D926" s="3" t="s">
        <v>2407</v>
      </c>
      <c r="E926">
        <v>5</v>
      </c>
      <c r="F926">
        <v>268.43</v>
      </c>
      <c r="G926" t="s">
        <v>2802</v>
      </c>
      <c r="H926" s="3" t="s">
        <v>3069</v>
      </c>
      <c r="I926" s="3" t="s">
        <v>3072</v>
      </c>
      <c r="J926" t="s">
        <v>3999</v>
      </c>
      <c r="K926">
        <v>5</v>
      </c>
      <c r="L926" t="s">
        <v>4275</v>
      </c>
      <c r="M926" s="3" t="s">
        <v>4280</v>
      </c>
      <c r="N926">
        <v>1342.15</v>
      </c>
    </row>
    <row r="927" spans="1:14" x14ac:dyDescent="0.35">
      <c r="A927" t="s">
        <v>939</v>
      </c>
      <c r="B927" t="s">
        <v>4874</v>
      </c>
      <c r="C927" t="s">
        <v>2135</v>
      </c>
      <c r="D927" s="3" t="s">
        <v>2403</v>
      </c>
      <c r="E927">
        <v>5</v>
      </c>
      <c r="F927">
        <v>502.47</v>
      </c>
      <c r="G927" t="s">
        <v>2733</v>
      </c>
      <c r="H927" s="3" t="s">
        <v>3066</v>
      </c>
      <c r="I927" s="3" t="s">
        <v>3070</v>
      </c>
      <c r="J927" t="s">
        <v>4000</v>
      </c>
      <c r="K927">
        <v>10</v>
      </c>
      <c r="L927" t="s">
        <v>4277</v>
      </c>
      <c r="M927" s="3" t="s">
        <v>4280</v>
      </c>
      <c r="N927">
        <v>2512.35</v>
      </c>
    </row>
    <row r="928" spans="1:14" x14ac:dyDescent="0.35">
      <c r="A928" t="s">
        <v>940</v>
      </c>
      <c r="B928" t="s">
        <v>4875</v>
      </c>
      <c r="C928" t="s">
        <v>2136</v>
      </c>
      <c r="D928" s="3" t="s">
        <v>2409</v>
      </c>
      <c r="E928">
        <v>1</v>
      </c>
      <c r="F928">
        <v>26.95</v>
      </c>
      <c r="G928" t="s">
        <v>2774</v>
      </c>
      <c r="H928" s="3" t="s">
        <v>3069</v>
      </c>
      <c r="I928" s="3" t="s">
        <v>3073</v>
      </c>
      <c r="J928" t="s">
        <v>4001</v>
      </c>
      <c r="K928">
        <v>1</v>
      </c>
      <c r="L928" t="s">
        <v>4277</v>
      </c>
      <c r="M928" s="3" t="s">
        <v>4280</v>
      </c>
      <c r="N928">
        <v>26.95</v>
      </c>
    </row>
    <row r="929" spans="1:14" x14ac:dyDescent="0.35">
      <c r="A929" t="s">
        <v>941</v>
      </c>
      <c r="B929" t="s">
        <v>4876</v>
      </c>
      <c r="C929" t="s">
        <v>2137</v>
      </c>
      <c r="D929" s="3" t="s">
        <v>2408</v>
      </c>
      <c r="E929">
        <v>4</v>
      </c>
      <c r="F929">
        <v>64.69</v>
      </c>
      <c r="G929" t="s">
        <v>2873</v>
      </c>
      <c r="H929" s="3" t="s">
        <v>3065</v>
      </c>
      <c r="I929" s="3" t="s">
        <v>3070</v>
      </c>
      <c r="J929" t="s">
        <v>4002</v>
      </c>
      <c r="K929">
        <v>7</v>
      </c>
      <c r="L929" t="s">
        <v>4277</v>
      </c>
      <c r="M929" s="3" t="s">
        <v>4282</v>
      </c>
      <c r="N929">
        <v>258.76</v>
      </c>
    </row>
    <row r="930" spans="1:14" x14ac:dyDescent="0.35">
      <c r="A930" t="s">
        <v>942</v>
      </c>
      <c r="B930" t="s">
        <v>4877</v>
      </c>
      <c r="C930" t="s">
        <v>2138</v>
      </c>
      <c r="D930" s="3" t="s">
        <v>2408</v>
      </c>
      <c r="E930">
        <v>3</v>
      </c>
      <c r="F930">
        <v>247.11</v>
      </c>
      <c r="G930" t="s">
        <v>2628</v>
      </c>
      <c r="H930" s="3" t="s">
        <v>3065</v>
      </c>
      <c r="I930" s="3" t="s">
        <v>3072</v>
      </c>
      <c r="J930" t="s">
        <v>4003</v>
      </c>
      <c r="K930">
        <v>3</v>
      </c>
      <c r="L930" t="s">
        <v>4277</v>
      </c>
      <c r="M930" s="3" t="s">
        <v>4279</v>
      </c>
      <c r="N930">
        <v>741.33</v>
      </c>
    </row>
    <row r="931" spans="1:14" x14ac:dyDescent="0.35">
      <c r="A931" t="s">
        <v>943</v>
      </c>
      <c r="B931" t="s">
        <v>4878</v>
      </c>
      <c r="C931" t="s">
        <v>2139</v>
      </c>
      <c r="D931" s="3" t="s">
        <v>2405</v>
      </c>
      <c r="E931">
        <v>2</v>
      </c>
      <c r="F931">
        <v>536.25</v>
      </c>
      <c r="G931" t="s">
        <v>2568</v>
      </c>
      <c r="H931" s="3" t="s">
        <v>3065</v>
      </c>
      <c r="I931" s="3" t="s">
        <v>3074</v>
      </c>
      <c r="J931" t="s">
        <v>4004</v>
      </c>
      <c r="K931">
        <v>3</v>
      </c>
      <c r="L931" t="s">
        <v>4292</v>
      </c>
      <c r="M931" s="3" t="s">
        <v>4280</v>
      </c>
      <c r="N931">
        <v>1072.5</v>
      </c>
    </row>
    <row r="932" spans="1:14" x14ac:dyDescent="0.35">
      <c r="A932" t="s">
        <v>944</v>
      </c>
      <c r="B932" t="s">
        <v>4677</v>
      </c>
      <c r="C932" t="s">
        <v>2140</v>
      </c>
      <c r="D932" s="3" t="s">
        <v>2404</v>
      </c>
      <c r="E932">
        <v>2</v>
      </c>
      <c r="F932">
        <v>456.04</v>
      </c>
      <c r="G932" t="s">
        <v>2427</v>
      </c>
      <c r="H932" s="3" t="s">
        <v>3065</v>
      </c>
      <c r="I932" s="3" t="s">
        <v>3072</v>
      </c>
      <c r="J932" t="s">
        <v>4005</v>
      </c>
      <c r="K932">
        <v>4</v>
      </c>
      <c r="L932" t="s">
        <v>4276</v>
      </c>
      <c r="M932" s="3" t="s">
        <v>4280</v>
      </c>
      <c r="N932">
        <v>912.08</v>
      </c>
    </row>
    <row r="933" spans="1:14" x14ac:dyDescent="0.35">
      <c r="A933" t="s">
        <v>945</v>
      </c>
      <c r="B933" t="s">
        <v>4827</v>
      </c>
      <c r="C933" t="s">
        <v>2141</v>
      </c>
      <c r="D933" s="3" t="s">
        <v>2407</v>
      </c>
      <c r="E933">
        <v>2</v>
      </c>
      <c r="F933">
        <v>40.229999999999997</v>
      </c>
      <c r="G933" t="s">
        <v>2460</v>
      </c>
      <c r="H933" s="3" t="s">
        <v>3067</v>
      </c>
      <c r="I933" s="3" t="s">
        <v>3071</v>
      </c>
      <c r="J933" t="s">
        <v>4006</v>
      </c>
      <c r="K933">
        <v>4</v>
      </c>
      <c r="L933" t="s">
        <v>4275</v>
      </c>
      <c r="M933" s="3" t="s">
        <v>4282</v>
      </c>
      <c r="N933">
        <v>80.459999999999994</v>
      </c>
    </row>
    <row r="934" spans="1:14" x14ac:dyDescent="0.35">
      <c r="A934" t="s">
        <v>946</v>
      </c>
      <c r="B934" t="s">
        <v>4749</v>
      </c>
      <c r="C934" t="s">
        <v>2142</v>
      </c>
      <c r="D934" s="3" t="s">
        <v>2408</v>
      </c>
      <c r="E934">
        <v>2</v>
      </c>
      <c r="F934">
        <v>72.39</v>
      </c>
      <c r="G934" t="s">
        <v>2982</v>
      </c>
      <c r="H934" s="3" t="s">
        <v>3066</v>
      </c>
      <c r="I934" s="3" t="s">
        <v>3073</v>
      </c>
      <c r="J934" t="s">
        <v>4007</v>
      </c>
      <c r="K934">
        <v>7</v>
      </c>
      <c r="L934" t="s">
        <v>4277</v>
      </c>
      <c r="M934" s="3" t="s">
        <v>4278</v>
      </c>
      <c r="N934">
        <v>144.78</v>
      </c>
    </row>
    <row r="935" spans="1:14" x14ac:dyDescent="0.35">
      <c r="A935" t="s">
        <v>947</v>
      </c>
      <c r="B935" t="s">
        <v>4879</v>
      </c>
      <c r="C935" t="s">
        <v>2143</v>
      </c>
      <c r="D935" s="3" t="s">
        <v>2403</v>
      </c>
      <c r="E935">
        <v>2</v>
      </c>
      <c r="F935">
        <v>394.16</v>
      </c>
      <c r="G935" t="s">
        <v>2617</v>
      </c>
      <c r="H935" s="3" t="s">
        <v>3066</v>
      </c>
      <c r="I935" s="3" t="s">
        <v>3070</v>
      </c>
      <c r="J935" t="s">
        <v>4008</v>
      </c>
      <c r="K935">
        <v>2</v>
      </c>
      <c r="L935" t="s">
        <v>4292</v>
      </c>
      <c r="M935" s="3" t="s">
        <v>4279</v>
      </c>
      <c r="N935">
        <v>788.32</v>
      </c>
    </row>
    <row r="936" spans="1:14" x14ac:dyDescent="0.35">
      <c r="A936" t="s">
        <v>948</v>
      </c>
      <c r="B936" t="s">
        <v>4849</v>
      </c>
      <c r="C936" t="s">
        <v>2144</v>
      </c>
      <c r="D936" s="3" t="s">
        <v>2408</v>
      </c>
      <c r="E936">
        <v>4</v>
      </c>
      <c r="F936">
        <v>119.84</v>
      </c>
      <c r="G936" t="s">
        <v>2604</v>
      </c>
      <c r="H936" s="3" t="s">
        <v>3068</v>
      </c>
      <c r="I936" s="3" t="s">
        <v>3070</v>
      </c>
      <c r="J936" t="s">
        <v>4009</v>
      </c>
      <c r="K936">
        <v>8</v>
      </c>
      <c r="L936" t="s">
        <v>4276</v>
      </c>
      <c r="M936" s="3" t="s">
        <v>4279</v>
      </c>
      <c r="N936">
        <v>479.36</v>
      </c>
    </row>
    <row r="937" spans="1:14" x14ac:dyDescent="0.35">
      <c r="A937" t="s">
        <v>949</v>
      </c>
      <c r="B937" t="s">
        <v>4538</v>
      </c>
      <c r="C937" t="s">
        <v>2145</v>
      </c>
      <c r="D937" s="3" t="s">
        <v>2404</v>
      </c>
      <c r="E937">
        <v>3</v>
      </c>
      <c r="F937">
        <v>692.71</v>
      </c>
      <c r="G937" t="s">
        <v>2692</v>
      </c>
      <c r="H937" s="3" t="s">
        <v>3067</v>
      </c>
      <c r="I937" s="3" t="s">
        <v>3073</v>
      </c>
      <c r="J937" t="s">
        <v>4010</v>
      </c>
      <c r="K937">
        <v>3</v>
      </c>
      <c r="L937" t="s">
        <v>4276</v>
      </c>
      <c r="M937" s="3" t="s">
        <v>4278</v>
      </c>
      <c r="N937">
        <v>2078.13</v>
      </c>
    </row>
    <row r="938" spans="1:14" x14ac:dyDescent="0.35">
      <c r="A938" t="s">
        <v>950</v>
      </c>
      <c r="B938" t="s">
        <v>4880</v>
      </c>
      <c r="C938" t="s">
        <v>2146</v>
      </c>
      <c r="D938" s="3" t="s">
        <v>2406</v>
      </c>
      <c r="E938">
        <v>4</v>
      </c>
      <c r="F938">
        <v>56.66</v>
      </c>
      <c r="G938" t="s">
        <v>2554</v>
      </c>
      <c r="H938" s="3" t="s">
        <v>3066</v>
      </c>
      <c r="I938" s="3" t="s">
        <v>3073</v>
      </c>
      <c r="J938" t="s">
        <v>4011</v>
      </c>
      <c r="K938">
        <v>4</v>
      </c>
      <c r="L938" t="s">
        <v>4275</v>
      </c>
      <c r="M938" s="3" t="s">
        <v>4278</v>
      </c>
      <c r="N938">
        <v>226.64</v>
      </c>
    </row>
    <row r="939" spans="1:14" x14ac:dyDescent="0.35">
      <c r="A939" t="s">
        <v>951</v>
      </c>
      <c r="B939" t="s">
        <v>4746</v>
      </c>
      <c r="C939" t="s">
        <v>2147</v>
      </c>
      <c r="D939" s="3" t="s">
        <v>2406</v>
      </c>
      <c r="E939">
        <v>2</v>
      </c>
      <c r="F939">
        <v>298.52999999999997</v>
      </c>
      <c r="G939" t="s">
        <v>2735</v>
      </c>
      <c r="H939" s="3" t="s">
        <v>3065</v>
      </c>
      <c r="I939" s="3" t="s">
        <v>3071</v>
      </c>
      <c r="J939" t="s">
        <v>4012</v>
      </c>
      <c r="K939">
        <v>5</v>
      </c>
      <c r="L939" t="s">
        <v>4277</v>
      </c>
      <c r="M939" s="3" t="s">
        <v>4280</v>
      </c>
      <c r="N939">
        <v>597.05999999999995</v>
      </c>
    </row>
    <row r="940" spans="1:14" x14ac:dyDescent="0.35">
      <c r="A940" t="s">
        <v>952</v>
      </c>
      <c r="B940" t="s">
        <v>4503</v>
      </c>
      <c r="C940" t="s">
        <v>2148</v>
      </c>
      <c r="D940" s="3" t="s">
        <v>2406</v>
      </c>
      <c r="E940">
        <v>3</v>
      </c>
      <c r="F940">
        <v>331.46</v>
      </c>
      <c r="G940" t="s">
        <v>2796</v>
      </c>
      <c r="H940" s="3" t="s">
        <v>3067</v>
      </c>
      <c r="I940" s="3" t="s">
        <v>3071</v>
      </c>
      <c r="J940" t="s">
        <v>4013</v>
      </c>
      <c r="K940">
        <v>6</v>
      </c>
      <c r="L940" t="s">
        <v>4277</v>
      </c>
      <c r="M940" s="3" t="s">
        <v>4279</v>
      </c>
      <c r="N940">
        <v>994.38</v>
      </c>
    </row>
    <row r="941" spans="1:14" x14ac:dyDescent="0.35">
      <c r="A941" t="s">
        <v>953</v>
      </c>
      <c r="B941" t="s">
        <v>4881</v>
      </c>
      <c r="C941" t="s">
        <v>2149</v>
      </c>
      <c r="D941" s="3" t="s">
        <v>2408</v>
      </c>
      <c r="E941">
        <v>2</v>
      </c>
      <c r="F941">
        <v>521.4</v>
      </c>
      <c r="G941" t="s">
        <v>2983</v>
      </c>
      <c r="H941" s="3" t="s">
        <v>3069</v>
      </c>
      <c r="I941" s="3" t="s">
        <v>3073</v>
      </c>
      <c r="J941" t="s">
        <v>4014</v>
      </c>
      <c r="K941">
        <v>7</v>
      </c>
      <c r="L941" t="s">
        <v>4275</v>
      </c>
      <c r="M941" s="3" t="s">
        <v>4278</v>
      </c>
      <c r="N941">
        <v>1042.8</v>
      </c>
    </row>
    <row r="942" spans="1:14" x14ac:dyDescent="0.35">
      <c r="A942" t="s">
        <v>954</v>
      </c>
      <c r="B942" t="s">
        <v>4298</v>
      </c>
      <c r="C942" t="s">
        <v>2150</v>
      </c>
      <c r="D942" s="3" t="s">
        <v>2407</v>
      </c>
      <c r="E942">
        <v>4</v>
      </c>
      <c r="F942">
        <v>305.32</v>
      </c>
      <c r="G942" t="s">
        <v>2984</v>
      </c>
      <c r="H942" s="3" t="s">
        <v>3066</v>
      </c>
      <c r="I942" s="3" t="s">
        <v>3071</v>
      </c>
      <c r="J942" t="s">
        <v>4015</v>
      </c>
      <c r="K942">
        <v>4</v>
      </c>
      <c r="L942" t="s">
        <v>4275</v>
      </c>
      <c r="M942" s="3" t="s">
        <v>4282</v>
      </c>
      <c r="N942">
        <v>1221.28</v>
      </c>
    </row>
    <row r="943" spans="1:14" x14ac:dyDescent="0.35">
      <c r="A943" t="s">
        <v>955</v>
      </c>
      <c r="B943" t="s">
        <v>4299</v>
      </c>
      <c r="C943" t="s">
        <v>1653</v>
      </c>
      <c r="D943" s="3" t="s">
        <v>2407</v>
      </c>
      <c r="E943">
        <v>5</v>
      </c>
      <c r="F943">
        <v>111.7</v>
      </c>
      <c r="G943" t="s">
        <v>2690</v>
      </c>
      <c r="H943" s="3" t="s">
        <v>3067</v>
      </c>
      <c r="I943" s="3" t="s">
        <v>3071</v>
      </c>
      <c r="J943" t="s">
        <v>4016</v>
      </c>
      <c r="K943">
        <v>9</v>
      </c>
      <c r="L943" t="s">
        <v>4276</v>
      </c>
      <c r="M943" s="3" t="s">
        <v>4280</v>
      </c>
      <c r="N943">
        <v>558.5</v>
      </c>
    </row>
    <row r="944" spans="1:14" x14ac:dyDescent="0.35">
      <c r="A944" t="s">
        <v>956</v>
      </c>
      <c r="B944" t="s">
        <v>4656</v>
      </c>
      <c r="C944" t="s">
        <v>2151</v>
      </c>
      <c r="D944" s="3" t="s">
        <v>2405</v>
      </c>
      <c r="E944">
        <v>1</v>
      </c>
      <c r="F944">
        <v>479.76</v>
      </c>
      <c r="G944" t="s">
        <v>2599</v>
      </c>
      <c r="H944" s="3" t="s">
        <v>3067</v>
      </c>
      <c r="I944" s="3" t="s">
        <v>3074</v>
      </c>
      <c r="J944" t="s">
        <v>4017</v>
      </c>
      <c r="K944">
        <v>1</v>
      </c>
      <c r="L944" t="s">
        <v>4292</v>
      </c>
      <c r="M944" s="3" t="s">
        <v>4280</v>
      </c>
      <c r="N944">
        <v>479.76</v>
      </c>
    </row>
    <row r="945" spans="1:14" x14ac:dyDescent="0.35">
      <c r="A945" t="s">
        <v>957</v>
      </c>
      <c r="B945" t="s">
        <v>4424</v>
      </c>
      <c r="C945" t="s">
        <v>2152</v>
      </c>
      <c r="D945" s="3" t="s">
        <v>2403</v>
      </c>
      <c r="E945">
        <v>3</v>
      </c>
      <c r="F945">
        <v>193.49</v>
      </c>
      <c r="G945" t="s">
        <v>2985</v>
      </c>
      <c r="H945" s="3" t="s">
        <v>3068</v>
      </c>
      <c r="I945" s="3" t="s">
        <v>3072</v>
      </c>
      <c r="J945" t="s">
        <v>4018</v>
      </c>
      <c r="K945">
        <v>6</v>
      </c>
      <c r="L945" t="s">
        <v>4276</v>
      </c>
      <c r="M945" s="3" t="s">
        <v>4281</v>
      </c>
      <c r="N945">
        <v>580.47</v>
      </c>
    </row>
    <row r="946" spans="1:14" x14ac:dyDescent="0.35">
      <c r="A946" t="s">
        <v>958</v>
      </c>
      <c r="B946" t="s">
        <v>4677</v>
      </c>
      <c r="C946" t="s">
        <v>2153</v>
      </c>
      <c r="D946" s="3" t="s">
        <v>2408</v>
      </c>
      <c r="E946">
        <v>2</v>
      </c>
      <c r="F946">
        <v>426.22</v>
      </c>
      <c r="G946" t="s">
        <v>2964</v>
      </c>
      <c r="H946" s="3" t="s">
        <v>3066</v>
      </c>
      <c r="I946" s="3" t="s">
        <v>3073</v>
      </c>
      <c r="J946" t="s">
        <v>4019</v>
      </c>
      <c r="K946">
        <v>7</v>
      </c>
      <c r="L946" t="s">
        <v>4277</v>
      </c>
      <c r="M946" s="3" t="s">
        <v>4282</v>
      </c>
      <c r="N946">
        <v>852.44</v>
      </c>
    </row>
    <row r="947" spans="1:14" x14ac:dyDescent="0.35">
      <c r="A947" t="s">
        <v>959</v>
      </c>
      <c r="B947" t="s">
        <v>4322</v>
      </c>
      <c r="C947" t="s">
        <v>2154</v>
      </c>
      <c r="D947" s="3" t="s">
        <v>2405</v>
      </c>
      <c r="E947">
        <v>5</v>
      </c>
      <c r="F947">
        <v>276.44</v>
      </c>
      <c r="G947" t="s">
        <v>2695</v>
      </c>
      <c r="H947" s="3" t="s">
        <v>3068</v>
      </c>
      <c r="I947" s="3" t="s">
        <v>3070</v>
      </c>
      <c r="J947" t="s">
        <v>4020</v>
      </c>
      <c r="K947">
        <v>10</v>
      </c>
      <c r="L947" t="s">
        <v>4276</v>
      </c>
      <c r="M947" s="3" t="s">
        <v>4279</v>
      </c>
      <c r="N947">
        <v>1382.2</v>
      </c>
    </row>
    <row r="948" spans="1:14" x14ac:dyDescent="0.35">
      <c r="A948" t="s">
        <v>960</v>
      </c>
      <c r="B948" t="s">
        <v>4882</v>
      </c>
      <c r="C948" t="s">
        <v>2155</v>
      </c>
      <c r="D948" s="3" t="s">
        <v>2404</v>
      </c>
      <c r="E948">
        <v>2</v>
      </c>
      <c r="F948">
        <v>404.96</v>
      </c>
      <c r="G948" t="s">
        <v>2684</v>
      </c>
      <c r="H948" s="3" t="s">
        <v>3069</v>
      </c>
      <c r="I948" s="3" t="s">
        <v>3070</v>
      </c>
      <c r="J948" t="s">
        <v>4021</v>
      </c>
      <c r="K948">
        <v>4</v>
      </c>
      <c r="L948" t="s">
        <v>4275</v>
      </c>
      <c r="M948" s="3" t="s">
        <v>4280</v>
      </c>
      <c r="N948">
        <v>809.92</v>
      </c>
    </row>
    <row r="949" spans="1:14" x14ac:dyDescent="0.35">
      <c r="A949" t="s">
        <v>961</v>
      </c>
      <c r="B949" t="s">
        <v>4883</v>
      </c>
      <c r="C949" t="s">
        <v>2156</v>
      </c>
      <c r="D949" s="3" t="s">
        <v>2404</v>
      </c>
      <c r="E949">
        <v>4</v>
      </c>
      <c r="F949">
        <v>465.66</v>
      </c>
      <c r="G949" t="s">
        <v>2642</v>
      </c>
      <c r="H949" s="3" t="s">
        <v>3066</v>
      </c>
      <c r="I949" s="3" t="s">
        <v>3072</v>
      </c>
      <c r="J949" t="s">
        <v>4022</v>
      </c>
      <c r="K949">
        <v>9</v>
      </c>
      <c r="L949" t="s">
        <v>4276</v>
      </c>
      <c r="M949" s="3" t="s">
        <v>4280</v>
      </c>
      <c r="N949">
        <v>1862.64</v>
      </c>
    </row>
    <row r="950" spans="1:14" x14ac:dyDescent="0.35">
      <c r="A950" t="s">
        <v>962</v>
      </c>
      <c r="B950" t="s">
        <v>4871</v>
      </c>
      <c r="C950" t="s">
        <v>1659</v>
      </c>
      <c r="D950" s="3" t="s">
        <v>2404</v>
      </c>
      <c r="E950">
        <v>2</v>
      </c>
      <c r="F950">
        <v>594.07000000000005</v>
      </c>
      <c r="G950" t="s">
        <v>2771</v>
      </c>
      <c r="H950" s="3" t="s">
        <v>3068</v>
      </c>
      <c r="I950" s="3" t="s">
        <v>3071</v>
      </c>
      <c r="J950" t="s">
        <v>4023</v>
      </c>
      <c r="K950">
        <v>2</v>
      </c>
      <c r="L950" t="s">
        <v>4292</v>
      </c>
      <c r="M950" s="3" t="s">
        <v>4282</v>
      </c>
      <c r="N950">
        <v>1188.1400000000001</v>
      </c>
    </row>
    <row r="951" spans="1:14" x14ac:dyDescent="0.35">
      <c r="A951" t="s">
        <v>963</v>
      </c>
      <c r="B951" t="s">
        <v>4860</v>
      </c>
      <c r="C951" t="s">
        <v>2157</v>
      </c>
      <c r="D951" s="3" t="s">
        <v>2409</v>
      </c>
      <c r="E951">
        <v>5</v>
      </c>
      <c r="F951">
        <v>110.38</v>
      </c>
      <c r="G951" t="s">
        <v>2732</v>
      </c>
      <c r="H951" s="3" t="s">
        <v>3069</v>
      </c>
      <c r="I951" s="3" t="s">
        <v>3074</v>
      </c>
      <c r="J951" t="s">
        <v>4024</v>
      </c>
      <c r="K951">
        <v>10</v>
      </c>
      <c r="L951" t="s">
        <v>4292</v>
      </c>
      <c r="M951" s="3" t="s">
        <v>4279</v>
      </c>
      <c r="N951">
        <v>551.9</v>
      </c>
    </row>
    <row r="952" spans="1:14" x14ac:dyDescent="0.35">
      <c r="A952" t="s">
        <v>964</v>
      </c>
      <c r="B952" t="s">
        <v>4867</v>
      </c>
      <c r="C952" t="s">
        <v>2158</v>
      </c>
      <c r="D952" s="3" t="s">
        <v>2408</v>
      </c>
      <c r="E952">
        <v>1</v>
      </c>
      <c r="F952">
        <v>596.24</v>
      </c>
      <c r="G952" t="s">
        <v>2428</v>
      </c>
      <c r="H952" s="3" t="s">
        <v>3067</v>
      </c>
      <c r="I952" s="3" t="s">
        <v>3072</v>
      </c>
      <c r="J952" t="s">
        <v>4025</v>
      </c>
      <c r="K952">
        <v>4</v>
      </c>
      <c r="L952" t="s">
        <v>4276</v>
      </c>
      <c r="M952" s="3" t="s">
        <v>4278</v>
      </c>
      <c r="N952">
        <v>596.24</v>
      </c>
    </row>
    <row r="953" spans="1:14" x14ac:dyDescent="0.35">
      <c r="A953" t="s">
        <v>965</v>
      </c>
      <c r="B953" t="s">
        <v>4603</v>
      </c>
      <c r="C953" t="s">
        <v>2159</v>
      </c>
      <c r="D953" s="3" t="s">
        <v>2407</v>
      </c>
      <c r="E953">
        <v>2</v>
      </c>
      <c r="F953">
        <v>306.24</v>
      </c>
      <c r="G953" t="s">
        <v>2637</v>
      </c>
      <c r="H953" s="3" t="s">
        <v>3066</v>
      </c>
      <c r="I953" s="3" t="s">
        <v>3072</v>
      </c>
      <c r="J953" t="s">
        <v>4026</v>
      </c>
      <c r="K953">
        <v>4</v>
      </c>
      <c r="L953" t="s">
        <v>4276</v>
      </c>
      <c r="M953" s="3" t="s">
        <v>4280</v>
      </c>
      <c r="N953">
        <v>612.48</v>
      </c>
    </row>
    <row r="954" spans="1:14" x14ac:dyDescent="0.35">
      <c r="A954" t="s">
        <v>966</v>
      </c>
      <c r="B954" t="s">
        <v>4321</v>
      </c>
      <c r="C954" t="s">
        <v>2160</v>
      </c>
      <c r="D954" s="3" t="s">
        <v>2403</v>
      </c>
      <c r="E954">
        <v>3</v>
      </c>
      <c r="F954">
        <v>503.39</v>
      </c>
      <c r="G954" t="s">
        <v>2986</v>
      </c>
      <c r="H954" s="3" t="s">
        <v>3066</v>
      </c>
      <c r="I954" s="3" t="s">
        <v>3074</v>
      </c>
      <c r="J954" t="s">
        <v>4027</v>
      </c>
      <c r="K954">
        <v>5</v>
      </c>
      <c r="L954" t="s">
        <v>4292</v>
      </c>
      <c r="M954" s="3" t="s">
        <v>4281</v>
      </c>
      <c r="N954">
        <v>1510.17</v>
      </c>
    </row>
    <row r="955" spans="1:14" x14ac:dyDescent="0.35">
      <c r="A955" t="s">
        <v>967</v>
      </c>
      <c r="B955" t="s">
        <v>4884</v>
      </c>
      <c r="C955" t="s">
        <v>2161</v>
      </c>
      <c r="D955" s="3" t="s">
        <v>2404</v>
      </c>
      <c r="E955">
        <v>1</v>
      </c>
      <c r="F955">
        <v>131.61000000000001</v>
      </c>
      <c r="G955" t="s">
        <v>2486</v>
      </c>
      <c r="H955" s="3" t="s">
        <v>3069</v>
      </c>
      <c r="I955" s="3" t="s">
        <v>3070</v>
      </c>
      <c r="J955" t="s">
        <v>4028</v>
      </c>
      <c r="K955">
        <v>2</v>
      </c>
      <c r="L955" t="s">
        <v>4276</v>
      </c>
      <c r="M955" s="3" t="s">
        <v>4281</v>
      </c>
      <c r="N955">
        <v>131.61000000000001</v>
      </c>
    </row>
    <row r="956" spans="1:14" x14ac:dyDescent="0.35">
      <c r="A956" t="s">
        <v>968</v>
      </c>
      <c r="B956" t="s">
        <v>4885</v>
      </c>
      <c r="C956" t="s">
        <v>2162</v>
      </c>
      <c r="D956" s="3" t="s">
        <v>2406</v>
      </c>
      <c r="E956">
        <v>3</v>
      </c>
      <c r="F956">
        <v>443.44</v>
      </c>
      <c r="G956" t="s">
        <v>2556</v>
      </c>
      <c r="H956" s="3" t="s">
        <v>3068</v>
      </c>
      <c r="I956" s="3" t="s">
        <v>3070</v>
      </c>
      <c r="J956" t="s">
        <v>4029</v>
      </c>
      <c r="K956">
        <v>3</v>
      </c>
      <c r="L956" t="s">
        <v>4276</v>
      </c>
      <c r="M956" s="3" t="s">
        <v>4282</v>
      </c>
      <c r="N956">
        <v>1330.32</v>
      </c>
    </row>
    <row r="957" spans="1:14" x14ac:dyDescent="0.35">
      <c r="A957" t="s">
        <v>969</v>
      </c>
      <c r="B957" t="s">
        <v>4303</v>
      </c>
      <c r="C957" t="s">
        <v>2163</v>
      </c>
      <c r="D957" s="3" t="s">
        <v>2406</v>
      </c>
      <c r="E957">
        <v>1</v>
      </c>
      <c r="F957">
        <v>408.13</v>
      </c>
      <c r="G957" t="s">
        <v>2623</v>
      </c>
      <c r="H957" s="3" t="s">
        <v>3068</v>
      </c>
      <c r="I957" s="3" t="s">
        <v>3070</v>
      </c>
      <c r="J957" t="s">
        <v>4030</v>
      </c>
      <c r="K957">
        <v>3</v>
      </c>
      <c r="L957" t="s">
        <v>4277</v>
      </c>
      <c r="M957" s="3" t="s">
        <v>4278</v>
      </c>
      <c r="N957">
        <v>408.13</v>
      </c>
    </row>
    <row r="958" spans="1:14" x14ac:dyDescent="0.35">
      <c r="A958" t="s">
        <v>970</v>
      </c>
      <c r="B958" t="s">
        <v>4450</v>
      </c>
      <c r="C958" t="s">
        <v>1995</v>
      </c>
      <c r="D958" s="3" t="s">
        <v>2404</v>
      </c>
      <c r="E958">
        <v>2</v>
      </c>
      <c r="F958">
        <v>160.97999999999999</v>
      </c>
      <c r="G958" t="s">
        <v>2987</v>
      </c>
      <c r="H958" s="3" t="s">
        <v>3065</v>
      </c>
      <c r="I958" s="3" t="s">
        <v>3073</v>
      </c>
      <c r="J958" t="s">
        <v>4031</v>
      </c>
      <c r="K958">
        <v>3</v>
      </c>
      <c r="L958" t="s">
        <v>4275</v>
      </c>
      <c r="M958" s="3" t="s">
        <v>4279</v>
      </c>
      <c r="N958">
        <v>321.95999999999998</v>
      </c>
    </row>
    <row r="959" spans="1:14" x14ac:dyDescent="0.35">
      <c r="A959" t="s">
        <v>971</v>
      </c>
      <c r="B959" t="s">
        <v>4886</v>
      </c>
      <c r="C959" t="s">
        <v>2164</v>
      </c>
      <c r="D959" s="3" t="s">
        <v>2403</v>
      </c>
      <c r="E959">
        <v>5</v>
      </c>
      <c r="F959">
        <v>643.89</v>
      </c>
      <c r="G959" t="s">
        <v>2988</v>
      </c>
      <c r="H959" s="3" t="s">
        <v>3069</v>
      </c>
      <c r="I959" s="3" t="s">
        <v>3072</v>
      </c>
      <c r="J959" t="s">
        <v>4032</v>
      </c>
      <c r="K959">
        <v>8</v>
      </c>
      <c r="L959" t="s">
        <v>4277</v>
      </c>
      <c r="M959" s="3" t="s">
        <v>4281</v>
      </c>
      <c r="N959">
        <v>3219.45</v>
      </c>
    </row>
    <row r="960" spans="1:14" x14ac:dyDescent="0.35">
      <c r="A960" t="s">
        <v>972</v>
      </c>
      <c r="B960" t="s">
        <v>4887</v>
      </c>
      <c r="C960" t="s">
        <v>2165</v>
      </c>
      <c r="D960" s="3" t="s">
        <v>2409</v>
      </c>
      <c r="E960">
        <v>3</v>
      </c>
      <c r="F960">
        <v>158.66</v>
      </c>
      <c r="G960" t="s">
        <v>2656</v>
      </c>
      <c r="H960" s="3" t="s">
        <v>3068</v>
      </c>
      <c r="I960" s="3" t="s">
        <v>3073</v>
      </c>
      <c r="J960" t="s">
        <v>4033</v>
      </c>
      <c r="K960">
        <v>7</v>
      </c>
      <c r="L960" t="s">
        <v>4277</v>
      </c>
      <c r="M960" s="3" t="s">
        <v>4280</v>
      </c>
      <c r="N960">
        <v>475.98</v>
      </c>
    </row>
    <row r="961" spans="1:14" x14ac:dyDescent="0.35">
      <c r="A961" t="s">
        <v>973</v>
      </c>
      <c r="B961" t="s">
        <v>4888</v>
      </c>
      <c r="C961" t="s">
        <v>2166</v>
      </c>
      <c r="D961" s="3" t="s">
        <v>2405</v>
      </c>
      <c r="E961">
        <v>2</v>
      </c>
      <c r="F961">
        <v>143.82</v>
      </c>
      <c r="G961" t="s">
        <v>2662</v>
      </c>
      <c r="H961" s="3" t="s">
        <v>3067</v>
      </c>
      <c r="I961" s="3" t="s">
        <v>3072</v>
      </c>
      <c r="J961" t="s">
        <v>4034</v>
      </c>
      <c r="K961">
        <v>6</v>
      </c>
      <c r="L961" t="s">
        <v>4275</v>
      </c>
      <c r="M961" s="3" t="s">
        <v>4278</v>
      </c>
      <c r="N961">
        <v>287.64</v>
      </c>
    </row>
    <row r="962" spans="1:14" x14ac:dyDescent="0.35">
      <c r="A962" t="s">
        <v>974</v>
      </c>
      <c r="B962" t="s">
        <v>4350</v>
      </c>
      <c r="C962" t="s">
        <v>2167</v>
      </c>
      <c r="D962" s="3" t="s">
        <v>2408</v>
      </c>
      <c r="E962">
        <v>3</v>
      </c>
      <c r="F962">
        <v>379.07</v>
      </c>
      <c r="G962" t="s">
        <v>2714</v>
      </c>
      <c r="H962" s="3" t="s">
        <v>3068</v>
      </c>
      <c r="I962" s="3" t="s">
        <v>3074</v>
      </c>
      <c r="J962" t="s">
        <v>4035</v>
      </c>
      <c r="K962">
        <v>3</v>
      </c>
      <c r="L962" t="s">
        <v>4277</v>
      </c>
      <c r="M962" s="3" t="s">
        <v>4282</v>
      </c>
      <c r="N962">
        <v>1137.21</v>
      </c>
    </row>
    <row r="963" spans="1:14" x14ac:dyDescent="0.35">
      <c r="A963" t="s">
        <v>975</v>
      </c>
      <c r="B963" t="s">
        <v>4719</v>
      </c>
      <c r="C963" t="s">
        <v>2168</v>
      </c>
      <c r="D963" s="3" t="s">
        <v>2404</v>
      </c>
      <c r="E963">
        <v>1</v>
      </c>
      <c r="F963">
        <v>601.36</v>
      </c>
      <c r="G963" t="s">
        <v>2685</v>
      </c>
      <c r="H963" s="3" t="s">
        <v>3066</v>
      </c>
      <c r="I963" s="3" t="s">
        <v>3070</v>
      </c>
      <c r="J963" t="s">
        <v>4036</v>
      </c>
      <c r="K963">
        <v>1</v>
      </c>
      <c r="L963" t="s">
        <v>4292</v>
      </c>
      <c r="M963" s="3" t="s">
        <v>4281</v>
      </c>
      <c r="N963">
        <v>601.36</v>
      </c>
    </row>
    <row r="964" spans="1:14" x14ac:dyDescent="0.35">
      <c r="A964" t="s">
        <v>976</v>
      </c>
      <c r="B964" t="s">
        <v>4889</v>
      </c>
      <c r="C964" t="s">
        <v>2169</v>
      </c>
      <c r="D964" s="3" t="s">
        <v>2404</v>
      </c>
      <c r="E964">
        <v>2</v>
      </c>
      <c r="F964">
        <v>142.08000000000001</v>
      </c>
      <c r="G964" t="s">
        <v>2621</v>
      </c>
      <c r="H964" s="3" t="s">
        <v>3068</v>
      </c>
      <c r="I964" s="3" t="s">
        <v>3073</v>
      </c>
      <c r="J964" t="s">
        <v>4037</v>
      </c>
      <c r="K964">
        <v>4</v>
      </c>
      <c r="L964" t="s">
        <v>4275</v>
      </c>
      <c r="M964" s="3" t="s">
        <v>4279</v>
      </c>
      <c r="N964">
        <v>284.16000000000003</v>
      </c>
    </row>
    <row r="965" spans="1:14" x14ac:dyDescent="0.35">
      <c r="A965" t="s">
        <v>977</v>
      </c>
      <c r="B965" t="s">
        <v>4890</v>
      </c>
      <c r="C965" t="s">
        <v>2170</v>
      </c>
      <c r="D965" s="3" t="s">
        <v>2406</v>
      </c>
      <c r="E965">
        <v>5</v>
      </c>
      <c r="F965">
        <v>530.34</v>
      </c>
      <c r="G965" t="s">
        <v>2572</v>
      </c>
      <c r="H965" s="3" t="s">
        <v>3066</v>
      </c>
      <c r="I965" s="3" t="s">
        <v>3070</v>
      </c>
      <c r="J965" t="s">
        <v>4038</v>
      </c>
      <c r="K965">
        <v>9</v>
      </c>
      <c r="L965" t="s">
        <v>4276</v>
      </c>
      <c r="M965" s="3" t="s">
        <v>4282</v>
      </c>
      <c r="N965">
        <v>2651.7</v>
      </c>
    </row>
    <row r="966" spans="1:14" x14ac:dyDescent="0.35">
      <c r="A966" t="s">
        <v>978</v>
      </c>
      <c r="B966" t="s">
        <v>4322</v>
      </c>
      <c r="C966" t="s">
        <v>2171</v>
      </c>
      <c r="D966" s="3" t="s">
        <v>2404</v>
      </c>
      <c r="E966">
        <v>5</v>
      </c>
      <c r="F966">
        <v>364.42</v>
      </c>
      <c r="G966" t="s">
        <v>2730</v>
      </c>
      <c r="H966" s="3" t="s">
        <v>3067</v>
      </c>
      <c r="I966" s="3" t="s">
        <v>3071</v>
      </c>
      <c r="J966" t="s">
        <v>4039</v>
      </c>
      <c r="K966">
        <v>10</v>
      </c>
      <c r="L966" t="s">
        <v>4275</v>
      </c>
      <c r="M966" s="3" t="s">
        <v>4279</v>
      </c>
      <c r="N966">
        <v>1822.1</v>
      </c>
    </row>
    <row r="967" spans="1:14" x14ac:dyDescent="0.35">
      <c r="A967" t="s">
        <v>979</v>
      </c>
      <c r="B967" t="s">
        <v>4891</v>
      </c>
      <c r="C967" t="s">
        <v>2172</v>
      </c>
      <c r="D967" s="3" t="s">
        <v>2408</v>
      </c>
      <c r="E967">
        <v>4</v>
      </c>
      <c r="F967">
        <v>578.28</v>
      </c>
      <c r="G967" t="s">
        <v>2641</v>
      </c>
      <c r="H967" s="3" t="s">
        <v>3068</v>
      </c>
      <c r="I967" s="3" t="s">
        <v>3071</v>
      </c>
      <c r="J967" t="s">
        <v>4040</v>
      </c>
      <c r="K967">
        <v>5</v>
      </c>
      <c r="L967" t="s">
        <v>4276</v>
      </c>
      <c r="M967" s="3" t="s">
        <v>4280</v>
      </c>
      <c r="N967">
        <v>2313.12</v>
      </c>
    </row>
    <row r="968" spans="1:14" x14ac:dyDescent="0.35">
      <c r="A968" t="s">
        <v>980</v>
      </c>
      <c r="B968" t="s">
        <v>4892</v>
      </c>
      <c r="C968" t="s">
        <v>2173</v>
      </c>
      <c r="D968" s="3" t="s">
        <v>2403</v>
      </c>
      <c r="E968">
        <v>5</v>
      </c>
      <c r="F968">
        <v>280.52</v>
      </c>
      <c r="G968" t="s">
        <v>2989</v>
      </c>
      <c r="H968" s="3" t="s">
        <v>3067</v>
      </c>
      <c r="I968" s="3" t="s">
        <v>3071</v>
      </c>
      <c r="J968" t="s">
        <v>4041</v>
      </c>
      <c r="K968">
        <v>7</v>
      </c>
      <c r="L968" t="s">
        <v>4277</v>
      </c>
      <c r="M968" s="3" t="s">
        <v>4281</v>
      </c>
      <c r="N968">
        <v>1402.6</v>
      </c>
    </row>
    <row r="969" spans="1:14" x14ac:dyDescent="0.35">
      <c r="A969" t="s">
        <v>981</v>
      </c>
      <c r="B969" t="s">
        <v>4422</v>
      </c>
      <c r="C969" t="s">
        <v>2174</v>
      </c>
      <c r="D969" s="3" t="s">
        <v>2405</v>
      </c>
      <c r="E969">
        <v>5</v>
      </c>
      <c r="F969">
        <v>638.91999999999996</v>
      </c>
      <c r="G969" t="s">
        <v>2990</v>
      </c>
      <c r="H969" s="3" t="s">
        <v>3067</v>
      </c>
      <c r="I969" s="3" t="s">
        <v>3072</v>
      </c>
      <c r="J969" t="s">
        <v>4042</v>
      </c>
      <c r="K969">
        <v>5</v>
      </c>
      <c r="L969" t="s">
        <v>4276</v>
      </c>
      <c r="M969" s="3" t="s">
        <v>4282</v>
      </c>
      <c r="N969">
        <v>3194.6</v>
      </c>
    </row>
    <row r="970" spans="1:14" x14ac:dyDescent="0.35">
      <c r="A970" t="s">
        <v>982</v>
      </c>
      <c r="B970" t="s">
        <v>4742</v>
      </c>
      <c r="C970" t="s">
        <v>2175</v>
      </c>
      <c r="D970" s="3" t="s">
        <v>2403</v>
      </c>
      <c r="E970">
        <v>4</v>
      </c>
      <c r="F970">
        <v>412.2</v>
      </c>
      <c r="G970" t="s">
        <v>2943</v>
      </c>
      <c r="H970" s="3" t="s">
        <v>3067</v>
      </c>
      <c r="I970" s="3" t="s">
        <v>3070</v>
      </c>
      <c r="J970" t="s">
        <v>4043</v>
      </c>
      <c r="K970">
        <v>6</v>
      </c>
      <c r="L970" t="s">
        <v>4277</v>
      </c>
      <c r="M970" s="3" t="s">
        <v>4279</v>
      </c>
      <c r="N970">
        <v>1648.8</v>
      </c>
    </row>
    <row r="971" spans="1:14" x14ac:dyDescent="0.35">
      <c r="A971" t="s">
        <v>983</v>
      </c>
      <c r="B971" t="s">
        <v>4369</v>
      </c>
      <c r="C971" t="s">
        <v>2176</v>
      </c>
      <c r="D971" s="3" t="s">
        <v>2409</v>
      </c>
      <c r="E971">
        <v>1</v>
      </c>
      <c r="F971">
        <v>440.34</v>
      </c>
      <c r="G971" t="s">
        <v>2991</v>
      </c>
      <c r="H971" s="3" t="s">
        <v>3068</v>
      </c>
      <c r="I971" s="3" t="s">
        <v>3070</v>
      </c>
      <c r="J971" t="s">
        <v>4044</v>
      </c>
      <c r="K971">
        <v>2</v>
      </c>
      <c r="L971" t="s">
        <v>4277</v>
      </c>
      <c r="M971" s="3" t="s">
        <v>4281</v>
      </c>
      <c r="N971">
        <v>440.34</v>
      </c>
    </row>
    <row r="972" spans="1:14" x14ac:dyDescent="0.35">
      <c r="A972" t="s">
        <v>984</v>
      </c>
      <c r="B972" t="s">
        <v>4893</v>
      </c>
      <c r="C972" t="s">
        <v>2177</v>
      </c>
      <c r="D972" s="3" t="s">
        <v>2409</v>
      </c>
      <c r="E972">
        <v>1</v>
      </c>
      <c r="F972">
        <v>627.15</v>
      </c>
      <c r="G972" t="s">
        <v>2992</v>
      </c>
      <c r="H972" s="3" t="s">
        <v>3069</v>
      </c>
      <c r="I972" s="3" t="s">
        <v>3073</v>
      </c>
      <c r="J972" t="s">
        <v>4045</v>
      </c>
      <c r="K972">
        <v>5</v>
      </c>
      <c r="L972" t="s">
        <v>4275</v>
      </c>
      <c r="M972" s="3" t="s">
        <v>4278</v>
      </c>
      <c r="N972">
        <v>627.15</v>
      </c>
    </row>
    <row r="973" spans="1:14" x14ac:dyDescent="0.35">
      <c r="A973" t="s">
        <v>985</v>
      </c>
      <c r="B973" t="s">
        <v>4866</v>
      </c>
      <c r="C973" t="s">
        <v>2178</v>
      </c>
      <c r="D973" s="3" t="s">
        <v>2403</v>
      </c>
      <c r="E973">
        <v>2</v>
      </c>
      <c r="F973">
        <v>605.26</v>
      </c>
      <c r="G973" t="s">
        <v>2415</v>
      </c>
      <c r="H973" s="3" t="s">
        <v>3069</v>
      </c>
      <c r="I973" s="3" t="s">
        <v>3071</v>
      </c>
      <c r="J973" t="s">
        <v>4046</v>
      </c>
      <c r="K973">
        <v>4</v>
      </c>
      <c r="L973" t="s">
        <v>4277</v>
      </c>
      <c r="M973" s="3" t="s">
        <v>4279</v>
      </c>
      <c r="N973">
        <v>1210.52</v>
      </c>
    </row>
    <row r="974" spans="1:14" x14ac:dyDescent="0.35">
      <c r="A974" t="s">
        <v>986</v>
      </c>
      <c r="B974" t="s">
        <v>4694</v>
      </c>
      <c r="C974" t="s">
        <v>2179</v>
      </c>
      <c r="D974" s="3" t="s">
        <v>2408</v>
      </c>
      <c r="E974">
        <v>1</v>
      </c>
      <c r="F974">
        <v>90.27</v>
      </c>
      <c r="G974" t="s">
        <v>2993</v>
      </c>
      <c r="H974" s="3" t="s">
        <v>3069</v>
      </c>
      <c r="I974" s="3" t="s">
        <v>3073</v>
      </c>
      <c r="J974" t="s">
        <v>4047</v>
      </c>
      <c r="K974">
        <v>5</v>
      </c>
      <c r="L974" t="s">
        <v>4275</v>
      </c>
      <c r="M974" s="3" t="s">
        <v>4281</v>
      </c>
      <c r="N974">
        <v>90.27</v>
      </c>
    </row>
    <row r="975" spans="1:14" x14ac:dyDescent="0.35">
      <c r="A975" t="s">
        <v>987</v>
      </c>
      <c r="B975" t="s">
        <v>4843</v>
      </c>
      <c r="C975" t="s">
        <v>2180</v>
      </c>
      <c r="D975" s="3" t="s">
        <v>2409</v>
      </c>
      <c r="E975">
        <v>5</v>
      </c>
      <c r="F975">
        <v>230.77</v>
      </c>
      <c r="G975" t="s">
        <v>2977</v>
      </c>
      <c r="H975" s="3" t="s">
        <v>3066</v>
      </c>
      <c r="I975" s="3" t="s">
        <v>3074</v>
      </c>
      <c r="J975" t="s">
        <v>4048</v>
      </c>
      <c r="K975">
        <v>10</v>
      </c>
      <c r="L975" t="s">
        <v>4277</v>
      </c>
      <c r="M975" s="3" t="s">
        <v>4279</v>
      </c>
      <c r="N975">
        <v>1153.8499999999999</v>
      </c>
    </row>
    <row r="976" spans="1:14" x14ac:dyDescent="0.35">
      <c r="A976" t="s">
        <v>988</v>
      </c>
      <c r="B976" t="s">
        <v>4894</v>
      </c>
      <c r="C976" t="s">
        <v>2181</v>
      </c>
      <c r="D976" s="3" t="s">
        <v>2409</v>
      </c>
      <c r="E976">
        <v>5</v>
      </c>
      <c r="F976">
        <v>266.77999999999997</v>
      </c>
      <c r="G976" t="s">
        <v>2673</v>
      </c>
      <c r="H976" s="3" t="s">
        <v>3068</v>
      </c>
      <c r="I976" s="3" t="s">
        <v>3071</v>
      </c>
      <c r="J976" t="s">
        <v>4049</v>
      </c>
      <c r="K976">
        <v>5</v>
      </c>
      <c r="L976" t="s">
        <v>4292</v>
      </c>
      <c r="M976" s="3" t="s">
        <v>4280</v>
      </c>
      <c r="N976">
        <v>1333.9</v>
      </c>
    </row>
    <row r="977" spans="1:14" x14ac:dyDescent="0.35">
      <c r="A977" t="s">
        <v>989</v>
      </c>
      <c r="B977" t="s">
        <v>4703</v>
      </c>
      <c r="C977" t="s">
        <v>2182</v>
      </c>
      <c r="D977" s="3" t="s">
        <v>2409</v>
      </c>
      <c r="E977">
        <v>1</v>
      </c>
      <c r="F977">
        <v>105.92</v>
      </c>
      <c r="G977" t="s">
        <v>2643</v>
      </c>
      <c r="H977" s="3" t="s">
        <v>3068</v>
      </c>
      <c r="I977" s="3" t="s">
        <v>3072</v>
      </c>
      <c r="J977" t="s">
        <v>4050</v>
      </c>
      <c r="K977">
        <v>6</v>
      </c>
      <c r="L977" t="s">
        <v>4275</v>
      </c>
      <c r="M977" s="3" t="s">
        <v>4280</v>
      </c>
      <c r="N977">
        <v>105.92</v>
      </c>
    </row>
    <row r="978" spans="1:14" x14ac:dyDescent="0.35">
      <c r="A978" t="s">
        <v>990</v>
      </c>
      <c r="B978" t="s">
        <v>4456</v>
      </c>
      <c r="C978" t="s">
        <v>2183</v>
      </c>
      <c r="D978" s="3" t="s">
        <v>2405</v>
      </c>
      <c r="E978">
        <v>3</v>
      </c>
      <c r="F978">
        <v>589.29999999999995</v>
      </c>
      <c r="G978" t="s">
        <v>2941</v>
      </c>
      <c r="H978" s="3" t="s">
        <v>3067</v>
      </c>
      <c r="I978" s="3" t="s">
        <v>3072</v>
      </c>
      <c r="J978" t="s">
        <v>4051</v>
      </c>
      <c r="K978">
        <v>6</v>
      </c>
      <c r="L978" t="s">
        <v>4277</v>
      </c>
      <c r="M978" s="3" t="s">
        <v>4279</v>
      </c>
      <c r="N978">
        <v>1767.9</v>
      </c>
    </row>
    <row r="979" spans="1:14" x14ac:dyDescent="0.35">
      <c r="A979" t="s">
        <v>991</v>
      </c>
      <c r="B979" t="s">
        <v>4707</v>
      </c>
      <c r="C979" t="s">
        <v>2184</v>
      </c>
      <c r="D979" s="3" t="s">
        <v>2406</v>
      </c>
      <c r="E979">
        <v>4</v>
      </c>
      <c r="F979">
        <v>649.47</v>
      </c>
      <c r="G979" t="s">
        <v>2994</v>
      </c>
      <c r="H979" s="3" t="s">
        <v>3069</v>
      </c>
      <c r="I979" s="3" t="s">
        <v>3074</v>
      </c>
      <c r="J979" t="s">
        <v>4052</v>
      </c>
      <c r="K979">
        <v>8</v>
      </c>
      <c r="L979" t="s">
        <v>4275</v>
      </c>
      <c r="M979" s="3" t="s">
        <v>4282</v>
      </c>
      <c r="N979">
        <v>2597.88</v>
      </c>
    </row>
    <row r="980" spans="1:14" x14ac:dyDescent="0.35">
      <c r="A980" t="s">
        <v>992</v>
      </c>
      <c r="B980" t="s">
        <v>4895</v>
      </c>
      <c r="C980" t="s">
        <v>2185</v>
      </c>
      <c r="D980" s="3" t="s">
        <v>2407</v>
      </c>
      <c r="E980">
        <v>4</v>
      </c>
      <c r="F980">
        <v>107.49</v>
      </c>
      <c r="G980" t="s">
        <v>2887</v>
      </c>
      <c r="H980" s="3" t="s">
        <v>3069</v>
      </c>
      <c r="I980" s="3" t="s">
        <v>3073</v>
      </c>
      <c r="J980" t="s">
        <v>4053</v>
      </c>
      <c r="K980">
        <v>5</v>
      </c>
      <c r="L980" t="s">
        <v>4292</v>
      </c>
      <c r="M980" s="3" t="s">
        <v>4282</v>
      </c>
      <c r="N980">
        <v>429.96</v>
      </c>
    </row>
    <row r="981" spans="1:14" x14ac:dyDescent="0.35">
      <c r="A981" t="s">
        <v>993</v>
      </c>
      <c r="B981" t="s">
        <v>4830</v>
      </c>
      <c r="C981" t="s">
        <v>2186</v>
      </c>
      <c r="D981" s="3" t="s">
        <v>2403</v>
      </c>
      <c r="E981">
        <v>3</v>
      </c>
      <c r="F981">
        <v>669.06</v>
      </c>
      <c r="G981" t="s">
        <v>2648</v>
      </c>
      <c r="H981" s="3" t="s">
        <v>3069</v>
      </c>
      <c r="I981" s="3" t="s">
        <v>3073</v>
      </c>
      <c r="J981" t="s">
        <v>4054</v>
      </c>
      <c r="K981">
        <v>7</v>
      </c>
      <c r="L981" t="s">
        <v>4275</v>
      </c>
      <c r="M981" s="3" t="s">
        <v>4281</v>
      </c>
      <c r="N981">
        <v>2007.18</v>
      </c>
    </row>
    <row r="982" spans="1:14" x14ac:dyDescent="0.35">
      <c r="A982" t="s">
        <v>994</v>
      </c>
      <c r="B982" t="s">
        <v>4896</v>
      </c>
      <c r="C982" t="s">
        <v>2187</v>
      </c>
      <c r="D982" s="3" t="s">
        <v>2406</v>
      </c>
      <c r="E982">
        <v>3</v>
      </c>
      <c r="F982">
        <v>69.650000000000006</v>
      </c>
      <c r="G982" t="s">
        <v>2995</v>
      </c>
      <c r="H982" s="3" t="s">
        <v>3069</v>
      </c>
      <c r="I982" s="3" t="s">
        <v>3073</v>
      </c>
      <c r="J982" t="s">
        <v>4055</v>
      </c>
      <c r="K982">
        <v>7</v>
      </c>
      <c r="L982" t="s">
        <v>4277</v>
      </c>
      <c r="M982" s="3" t="s">
        <v>4278</v>
      </c>
      <c r="N982">
        <v>208.95</v>
      </c>
    </row>
    <row r="983" spans="1:14" x14ac:dyDescent="0.35">
      <c r="A983" t="s">
        <v>995</v>
      </c>
      <c r="B983" t="s">
        <v>4655</v>
      </c>
      <c r="C983" t="s">
        <v>2188</v>
      </c>
      <c r="D983" s="3" t="s">
        <v>2404</v>
      </c>
      <c r="E983">
        <v>4</v>
      </c>
      <c r="F983">
        <v>136.83000000000001</v>
      </c>
      <c r="G983" t="s">
        <v>2996</v>
      </c>
      <c r="H983" s="3" t="s">
        <v>3065</v>
      </c>
      <c r="I983" s="3" t="s">
        <v>3074</v>
      </c>
      <c r="J983" t="s">
        <v>4056</v>
      </c>
      <c r="K983">
        <v>8</v>
      </c>
      <c r="L983" t="s">
        <v>4275</v>
      </c>
      <c r="M983" s="3" t="s">
        <v>4280</v>
      </c>
      <c r="N983">
        <v>547.32000000000005</v>
      </c>
    </row>
    <row r="984" spans="1:14" x14ac:dyDescent="0.35">
      <c r="A984" t="s">
        <v>996</v>
      </c>
      <c r="B984" t="s">
        <v>4889</v>
      </c>
      <c r="C984" t="s">
        <v>2189</v>
      </c>
      <c r="D984" s="3" t="s">
        <v>2403</v>
      </c>
      <c r="E984">
        <v>1</v>
      </c>
      <c r="F984">
        <v>304.11</v>
      </c>
      <c r="G984" t="s">
        <v>2889</v>
      </c>
      <c r="H984" s="3" t="s">
        <v>3068</v>
      </c>
      <c r="I984" s="3" t="s">
        <v>3070</v>
      </c>
      <c r="J984" t="s">
        <v>4057</v>
      </c>
      <c r="K984">
        <v>2</v>
      </c>
      <c r="L984" t="s">
        <v>4275</v>
      </c>
      <c r="M984" s="3" t="s">
        <v>4279</v>
      </c>
      <c r="N984">
        <v>304.11</v>
      </c>
    </row>
    <row r="985" spans="1:14" x14ac:dyDescent="0.35">
      <c r="A985" t="s">
        <v>997</v>
      </c>
      <c r="B985" t="s">
        <v>4451</v>
      </c>
      <c r="C985" t="s">
        <v>2190</v>
      </c>
      <c r="D985" s="3" t="s">
        <v>2403</v>
      </c>
      <c r="E985">
        <v>4</v>
      </c>
      <c r="F985">
        <v>296.27999999999997</v>
      </c>
      <c r="G985" t="s">
        <v>2997</v>
      </c>
      <c r="H985" s="3" t="s">
        <v>3068</v>
      </c>
      <c r="I985" s="3" t="s">
        <v>3070</v>
      </c>
      <c r="J985" t="s">
        <v>4058</v>
      </c>
      <c r="K985">
        <v>5</v>
      </c>
      <c r="L985" t="s">
        <v>4275</v>
      </c>
      <c r="M985" s="3" t="s">
        <v>4280</v>
      </c>
      <c r="N985">
        <v>1185.1199999999999</v>
      </c>
    </row>
    <row r="986" spans="1:14" x14ac:dyDescent="0.35">
      <c r="A986" t="s">
        <v>998</v>
      </c>
      <c r="B986" t="s">
        <v>4536</v>
      </c>
      <c r="C986" t="s">
        <v>2191</v>
      </c>
      <c r="D986" s="3" t="s">
        <v>2409</v>
      </c>
      <c r="E986">
        <v>1</v>
      </c>
      <c r="F986">
        <v>77.64</v>
      </c>
      <c r="G986" t="s">
        <v>2417</v>
      </c>
      <c r="H986" s="3" t="s">
        <v>3067</v>
      </c>
      <c r="I986" s="3" t="s">
        <v>3070</v>
      </c>
      <c r="J986" t="s">
        <v>4059</v>
      </c>
      <c r="K986">
        <v>1</v>
      </c>
      <c r="L986" t="s">
        <v>4276</v>
      </c>
      <c r="M986" s="3" t="s">
        <v>4281</v>
      </c>
      <c r="N986">
        <v>77.64</v>
      </c>
    </row>
    <row r="987" spans="1:14" x14ac:dyDescent="0.35">
      <c r="A987" t="s">
        <v>999</v>
      </c>
      <c r="B987" t="s">
        <v>4635</v>
      </c>
      <c r="C987" t="s">
        <v>2192</v>
      </c>
      <c r="D987" s="3" t="s">
        <v>2409</v>
      </c>
      <c r="E987">
        <v>1</v>
      </c>
      <c r="F987">
        <v>243.71</v>
      </c>
      <c r="G987" t="s">
        <v>2608</v>
      </c>
      <c r="H987" s="3" t="s">
        <v>3068</v>
      </c>
      <c r="I987" s="3" t="s">
        <v>3073</v>
      </c>
      <c r="J987" t="s">
        <v>4060</v>
      </c>
      <c r="K987">
        <v>6</v>
      </c>
      <c r="L987" t="s">
        <v>4275</v>
      </c>
      <c r="M987" s="3" t="s">
        <v>4282</v>
      </c>
      <c r="N987">
        <v>243.71</v>
      </c>
    </row>
    <row r="988" spans="1:14" x14ac:dyDescent="0.35">
      <c r="A988" t="s">
        <v>1000</v>
      </c>
      <c r="B988" t="s">
        <v>4893</v>
      </c>
      <c r="C988" t="s">
        <v>2193</v>
      </c>
      <c r="D988" s="3" t="s">
        <v>2408</v>
      </c>
      <c r="E988">
        <v>4</v>
      </c>
      <c r="F988">
        <v>644.96</v>
      </c>
      <c r="G988" t="s">
        <v>2501</v>
      </c>
      <c r="H988" s="3" t="s">
        <v>3067</v>
      </c>
      <c r="I988" s="3" t="s">
        <v>3074</v>
      </c>
      <c r="J988" t="s">
        <v>4061</v>
      </c>
      <c r="K988">
        <v>7</v>
      </c>
      <c r="L988" t="s">
        <v>4276</v>
      </c>
      <c r="M988" s="3" t="s">
        <v>4280</v>
      </c>
      <c r="N988">
        <v>2579.84</v>
      </c>
    </row>
    <row r="989" spans="1:14" x14ac:dyDescent="0.35">
      <c r="A989" t="s">
        <v>1001</v>
      </c>
      <c r="B989" t="s">
        <v>4369</v>
      </c>
      <c r="C989" t="s">
        <v>2194</v>
      </c>
      <c r="D989" s="3" t="s">
        <v>2404</v>
      </c>
      <c r="E989">
        <v>5</v>
      </c>
      <c r="F989">
        <v>283.73</v>
      </c>
      <c r="G989" t="s">
        <v>2752</v>
      </c>
      <c r="H989" s="3" t="s">
        <v>3068</v>
      </c>
      <c r="I989" s="3" t="s">
        <v>3074</v>
      </c>
      <c r="J989" t="s">
        <v>4062</v>
      </c>
      <c r="K989">
        <v>8</v>
      </c>
      <c r="L989" t="s">
        <v>4276</v>
      </c>
      <c r="M989" s="3" t="s">
        <v>4278</v>
      </c>
      <c r="N989">
        <v>1418.65</v>
      </c>
    </row>
    <row r="990" spans="1:14" x14ac:dyDescent="0.35">
      <c r="A990" t="s">
        <v>1002</v>
      </c>
      <c r="B990" t="s">
        <v>4780</v>
      </c>
      <c r="C990" t="s">
        <v>2195</v>
      </c>
      <c r="D990" s="3" t="s">
        <v>2409</v>
      </c>
      <c r="E990">
        <v>2</v>
      </c>
      <c r="F990">
        <v>629.55999999999995</v>
      </c>
      <c r="G990" t="s">
        <v>2687</v>
      </c>
      <c r="H990" s="3" t="s">
        <v>3068</v>
      </c>
      <c r="I990" s="3" t="s">
        <v>3071</v>
      </c>
      <c r="J990" t="s">
        <v>4063</v>
      </c>
      <c r="K990">
        <v>5</v>
      </c>
      <c r="L990" t="s">
        <v>4277</v>
      </c>
      <c r="M990" s="3" t="s">
        <v>4278</v>
      </c>
      <c r="N990">
        <v>1259.1199999999999</v>
      </c>
    </row>
    <row r="991" spans="1:14" x14ac:dyDescent="0.35">
      <c r="A991" t="s">
        <v>1003</v>
      </c>
      <c r="B991" t="s">
        <v>4897</v>
      </c>
      <c r="C991" t="s">
        <v>2196</v>
      </c>
      <c r="D991" s="3" t="s">
        <v>2408</v>
      </c>
      <c r="E991">
        <v>4</v>
      </c>
      <c r="F991">
        <v>246.11</v>
      </c>
      <c r="G991" t="s">
        <v>2998</v>
      </c>
      <c r="H991" s="3" t="s">
        <v>3067</v>
      </c>
      <c r="I991" s="3" t="s">
        <v>3074</v>
      </c>
      <c r="J991" t="s">
        <v>4064</v>
      </c>
      <c r="K991">
        <v>4</v>
      </c>
      <c r="L991" t="s">
        <v>4275</v>
      </c>
      <c r="M991" s="3" t="s">
        <v>4278</v>
      </c>
      <c r="N991">
        <v>984.44</v>
      </c>
    </row>
    <row r="992" spans="1:14" x14ac:dyDescent="0.35">
      <c r="A992" t="s">
        <v>1004</v>
      </c>
      <c r="B992" t="s">
        <v>4898</v>
      </c>
      <c r="C992" t="s">
        <v>2197</v>
      </c>
      <c r="D992" s="3" t="s">
        <v>2404</v>
      </c>
      <c r="E992">
        <v>2</v>
      </c>
      <c r="F992">
        <v>418.26</v>
      </c>
      <c r="G992" t="s">
        <v>2999</v>
      </c>
      <c r="H992" s="3" t="s">
        <v>3065</v>
      </c>
      <c r="I992" s="3" t="s">
        <v>3074</v>
      </c>
      <c r="J992" t="s">
        <v>4065</v>
      </c>
      <c r="K992">
        <v>2</v>
      </c>
      <c r="L992" t="s">
        <v>4275</v>
      </c>
      <c r="M992" s="3" t="s">
        <v>4282</v>
      </c>
      <c r="N992">
        <v>836.52</v>
      </c>
    </row>
    <row r="993" spans="1:14" x14ac:dyDescent="0.35">
      <c r="A993" t="s">
        <v>1005</v>
      </c>
      <c r="B993" t="s">
        <v>4877</v>
      </c>
      <c r="C993" t="s">
        <v>2198</v>
      </c>
      <c r="D993" s="3" t="s">
        <v>2409</v>
      </c>
      <c r="E993">
        <v>5</v>
      </c>
      <c r="F993">
        <v>127.18</v>
      </c>
      <c r="G993" t="s">
        <v>2538</v>
      </c>
      <c r="H993" s="3" t="s">
        <v>3065</v>
      </c>
      <c r="I993" s="3" t="s">
        <v>3071</v>
      </c>
      <c r="J993" t="s">
        <v>4066</v>
      </c>
      <c r="K993">
        <v>10</v>
      </c>
      <c r="L993" t="s">
        <v>4276</v>
      </c>
      <c r="M993" s="3" t="s">
        <v>4282</v>
      </c>
      <c r="N993">
        <v>635.9</v>
      </c>
    </row>
    <row r="994" spans="1:14" x14ac:dyDescent="0.35">
      <c r="A994" t="s">
        <v>1006</v>
      </c>
      <c r="B994" t="s">
        <v>4899</v>
      </c>
      <c r="C994" t="s">
        <v>2199</v>
      </c>
      <c r="D994" s="3" t="s">
        <v>2407</v>
      </c>
      <c r="E994">
        <v>3</v>
      </c>
      <c r="F994">
        <v>586.21</v>
      </c>
      <c r="G994" t="s">
        <v>2543</v>
      </c>
      <c r="H994" s="3" t="s">
        <v>3068</v>
      </c>
      <c r="I994" s="3" t="s">
        <v>3074</v>
      </c>
      <c r="J994" t="s">
        <v>4067</v>
      </c>
      <c r="K994">
        <v>4</v>
      </c>
      <c r="L994" t="s">
        <v>4277</v>
      </c>
      <c r="M994" s="3" t="s">
        <v>4279</v>
      </c>
      <c r="N994">
        <v>1758.63</v>
      </c>
    </row>
    <row r="995" spans="1:14" x14ac:dyDescent="0.35">
      <c r="A995" t="s">
        <v>1007</v>
      </c>
      <c r="B995" t="s">
        <v>4900</v>
      </c>
      <c r="C995" t="s">
        <v>2200</v>
      </c>
      <c r="D995" s="3" t="s">
        <v>2403</v>
      </c>
      <c r="E995">
        <v>3</v>
      </c>
      <c r="F995">
        <v>267.45</v>
      </c>
      <c r="G995" t="s">
        <v>3000</v>
      </c>
      <c r="H995" s="3" t="s">
        <v>3068</v>
      </c>
      <c r="I995" s="3" t="s">
        <v>3073</v>
      </c>
      <c r="J995" t="s">
        <v>4068</v>
      </c>
      <c r="K995">
        <v>5</v>
      </c>
      <c r="L995" t="s">
        <v>4277</v>
      </c>
      <c r="M995" s="3" t="s">
        <v>4278</v>
      </c>
      <c r="N995">
        <v>802.35</v>
      </c>
    </row>
    <row r="996" spans="1:14" x14ac:dyDescent="0.35">
      <c r="A996" t="s">
        <v>1008</v>
      </c>
      <c r="B996" t="s">
        <v>4610</v>
      </c>
      <c r="C996" t="s">
        <v>2201</v>
      </c>
      <c r="D996" s="3" t="s">
        <v>2405</v>
      </c>
      <c r="E996">
        <v>4</v>
      </c>
      <c r="F996">
        <v>615.65</v>
      </c>
      <c r="G996" t="s">
        <v>2486</v>
      </c>
      <c r="H996" s="3" t="s">
        <v>3065</v>
      </c>
      <c r="I996" s="3" t="s">
        <v>3073</v>
      </c>
      <c r="J996" t="s">
        <v>4069</v>
      </c>
      <c r="K996">
        <v>9</v>
      </c>
      <c r="L996" t="s">
        <v>4277</v>
      </c>
      <c r="M996" s="3" t="s">
        <v>4282</v>
      </c>
      <c r="N996">
        <v>2462.6</v>
      </c>
    </row>
    <row r="997" spans="1:14" x14ac:dyDescent="0.35">
      <c r="A997" t="s">
        <v>1009</v>
      </c>
      <c r="B997" t="s">
        <v>4418</v>
      </c>
      <c r="C997" t="s">
        <v>2202</v>
      </c>
      <c r="D997" s="3" t="s">
        <v>2403</v>
      </c>
      <c r="E997">
        <v>2</v>
      </c>
      <c r="F997">
        <v>113.29</v>
      </c>
      <c r="G997" t="s">
        <v>2801</v>
      </c>
      <c r="H997" s="3" t="s">
        <v>3069</v>
      </c>
      <c r="I997" s="3" t="s">
        <v>3074</v>
      </c>
      <c r="J997" t="s">
        <v>4070</v>
      </c>
      <c r="K997">
        <v>5</v>
      </c>
      <c r="L997" t="s">
        <v>4275</v>
      </c>
      <c r="M997" s="3" t="s">
        <v>4281</v>
      </c>
      <c r="N997">
        <v>226.58</v>
      </c>
    </row>
    <row r="998" spans="1:14" x14ac:dyDescent="0.35">
      <c r="A998" t="s">
        <v>1010</v>
      </c>
      <c r="B998" t="s">
        <v>4862</v>
      </c>
      <c r="C998" t="s">
        <v>2203</v>
      </c>
      <c r="D998" s="3" t="s">
        <v>2403</v>
      </c>
      <c r="E998">
        <v>4</v>
      </c>
      <c r="F998">
        <v>473.86</v>
      </c>
      <c r="G998" t="s">
        <v>2677</v>
      </c>
      <c r="H998" s="3" t="s">
        <v>3065</v>
      </c>
      <c r="I998" s="3" t="s">
        <v>3073</v>
      </c>
      <c r="J998" t="s">
        <v>4071</v>
      </c>
      <c r="K998">
        <v>7</v>
      </c>
      <c r="L998" t="s">
        <v>4275</v>
      </c>
      <c r="M998" s="3" t="s">
        <v>4281</v>
      </c>
      <c r="N998">
        <v>1895.44</v>
      </c>
    </row>
    <row r="999" spans="1:14" x14ac:dyDescent="0.35">
      <c r="A999" t="s">
        <v>1011</v>
      </c>
      <c r="B999" t="s">
        <v>4394</v>
      </c>
      <c r="C999" t="s">
        <v>2204</v>
      </c>
      <c r="D999" s="3" t="s">
        <v>2408</v>
      </c>
      <c r="E999">
        <v>3</v>
      </c>
      <c r="F999">
        <v>444.75</v>
      </c>
      <c r="G999" t="s">
        <v>2795</v>
      </c>
      <c r="H999" s="3" t="s">
        <v>3069</v>
      </c>
      <c r="I999" s="3" t="s">
        <v>3073</v>
      </c>
      <c r="J999" t="s">
        <v>4072</v>
      </c>
      <c r="K999">
        <v>6</v>
      </c>
      <c r="L999" t="s">
        <v>4275</v>
      </c>
      <c r="M999" s="3" t="s">
        <v>4281</v>
      </c>
      <c r="N999">
        <v>1334.25</v>
      </c>
    </row>
    <row r="1000" spans="1:14" x14ac:dyDescent="0.35">
      <c r="A1000" t="s">
        <v>1012</v>
      </c>
      <c r="B1000" t="s">
        <v>4497</v>
      </c>
      <c r="C1000" t="s">
        <v>2205</v>
      </c>
      <c r="D1000" s="3" t="s">
        <v>2404</v>
      </c>
      <c r="E1000">
        <v>2</v>
      </c>
      <c r="F1000">
        <v>183.67</v>
      </c>
      <c r="G1000" t="s">
        <v>2614</v>
      </c>
      <c r="H1000" s="3" t="s">
        <v>3065</v>
      </c>
      <c r="I1000" s="3" t="s">
        <v>3071</v>
      </c>
      <c r="J1000" t="s">
        <v>4073</v>
      </c>
      <c r="K1000">
        <v>6</v>
      </c>
      <c r="L1000" t="s">
        <v>4275</v>
      </c>
      <c r="M1000" s="3" t="s">
        <v>4282</v>
      </c>
      <c r="N1000">
        <v>367.34</v>
      </c>
    </row>
    <row r="1001" spans="1:14" x14ac:dyDescent="0.35">
      <c r="A1001" t="s">
        <v>1013</v>
      </c>
      <c r="B1001" t="s">
        <v>4762</v>
      </c>
      <c r="C1001" t="s">
        <v>2206</v>
      </c>
      <c r="D1001" s="3" t="s">
        <v>2407</v>
      </c>
      <c r="E1001">
        <v>1</v>
      </c>
      <c r="F1001">
        <v>483.38</v>
      </c>
      <c r="G1001" t="s">
        <v>2741</v>
      </c>
      <c r="H1001" s="3" t="s">
        <v>3069</v>
      </c>
      <c r="I1001" s="3" t="s">
        <v>3074</v>
      </c>
      <c r="J1001" t="s">
        <v>4074</v>
      </c>
      <c r="K1001">
        <v>6</v>
      </c>
      <c r="L1001" t="s">
        <v>4276</v>
      </c>
      <c r="M1001" s="3" t="s">
        <v>4282</v>
      </c>
      <c r="N1001">
        <v>483.38</v>
      </c>
    </row>
    <row r="1002" spans="1:14" x14ac:dyDescent="0.35">
      <c r="A1002" t="s">
        <v>1014</v>
      </c>
      <c r="B1002" t="s">
        <v>4901</v>
      </c>
      <c r="C1002" t="s">
        <v>2207</v>
      </c>
      <c r="D1002" s="3" t="s">
        <v>2407</v>
      </c>
      <c r="E1002">
        <v>5</v>
      </c>
      <c r="F1002">
        <v>260.93</v>
      </c>
      <c r="G1002" t="s">
        <v>3001</v>
      </c>
      <c r="H1002" s="3" t="s">
        <v>3066</v>
      </c>
      <c r="I1002" s="3" t="s">
        <v>3073</v>
      </c>
      <c r="J1002" t="s">
        <v>4075</v>
      </c>
      <c r="K1002">
        <v>9</v>
      </c>
      <c r="L1002" t="s">
        <v>4275</v>
      </c>
      <c r="M1002" s="3" t="s">
        <v>4280</v>
      </c>
      <c r="N1002">
        <v>1304.6500000000001</v>
      </c>
    </row>
    <row r="1003" spans="1:14" x14ac:dyDescent="0.35">
      <c r="A1003" t="s">
        <v>1015</v>
      </c>
      <c r="B1003" t="s">
        <v>4902</v>
      </c>
      <c r="C1003" t="s">
        <v>2208</v>
      </c>
      <c r="D1003" s="3" t="s">
        <v>2407</v>
      </c>
      <c r="E1003">
        <v>2</v>
      </c>
      <c r="F1003">
        <v>253.68</v>
      </c>
      <c r="G1003" t="s">
        <v>2518</v>
      </c>
      <c r="H1003" s="3" t="s">
        <v>3068</v>
      </c>
      <c r="I1003" s="3" t="s">
        <v>3070</v>
      </c>
      <c r="J1003" t="s">
        <v>4076</v>
      </c>
      <c r="K1003">
        <v>6</v>
      </c>
      <c r="L1003" t="s">
        <v>4292</v>
      </c>
      <c r="M1003" s="3" t="s">
        <v>4279</v>
      </c>
      <c r="N1003">
        <v>507.36</v>
      </c>
    </row>
    <row r="1004" spans="1:14" x14ac:dyDescent="0.35">
      <c r="A1004" t="s">
        <v>1016</v>
      </c>
      <c r="B1004" t="s">
        <v>4903</v>
      </c>
      <c r="C1004" t="s">
        <v>2209</v>
      </c>
      <c r="D1004" s="3" t="s">
        <v>2405</v>
      </c>
      <c r="E1004">
        <v>4</v>
      </c>
      <c r="F1004">
        <v>699.88</v>
      </c>
      <c r="G1004" t="s">
        <v>2505</v>
      </c>
      <c r="H1004" s="3" t="s">
        <v>3069</v>
      </c>
      <c r="I1004" s="3" t="s">
        <v>3074</v>
      </c>
      <c r="J1004" t="s">
        <v>4077</v>
      </c>
      <c r="K1004">
        <v>5</v>
      </c>
      <c r="L1004" t="s">
        <v>4277</v>
      </c>
      <c r="M1004" s="3" t="s">
        <v>4279</v>
      </c>
      <c r="N1004">
        <v>2799.52</v>
      </c>
    </row>
    <row r="1005" spans="1:14" x14ac:dyDescent="0.35">
      <c r="A1005" t="s">
        <v>1017</v>
      </c>
      <c r="B1005" t="s">
        <v>4632</v>
      </c>
      <c r="C1005" t="s">
        <v>2210</v>
      </c>
      <c r="D1005" s="3" t="s">
        <v>2407</v>
      </c>
      <c r="E1005">
        <v>5</v>
      </c>
      <c r="F1005">
        <v>319.97000000000003</v>
      </c>
      <c r="G1005" t="s">
        <v>3001</v>
      </c>
      <c r="H1005" s="3" t="s">
        <v>3069</v>
      </c>
      <c r="I1005" s="3" t="s">
        <v>3070</v>
      </c>
      <c r="J1005" t="s">
        <v>4078</v>
      </c>
      <c r="K1005">
        <v>7</v>
      </c>
      <c r="L1005" t="s">
        <v>4275</v>
      </c>
      <c r="M1005" s="3" t="s">
        <v>4282</v>
      </c>
      <c r="N1005">
        <v>1599.85</v>
      </c>
    </row>
    <row r="1006" spans="1:14" x14ac:dyDescent="0.35">
      <c r="A1006" t="s">
        <v>1018</v>
      </c>
      <c r="B1006" t="s">
        <v>4843</v>
      </c>
      <c r="C1006" t="s">
        <v>2211</v>
      </c>
      <c r="D1006" s="3" t="s">
        <v>2406</v>
      </c>
      <c r="E1006">
        <v>4</v>
      </c>
      <c r="F1006">
        <v>246.91</v>
      </c>
      <c r="G1006" t="s">
        <v>2436</v>
      </c>
      <c r="H1006" s="3" t="s">
        <v>3066</v>
      </c>
      <c r="I1006" s="3" t="s">
        <v>3074</v>
      </c>
      <c r="J1006" t="s">
        <v>4079</v>
      </c>
      <c r="K1006">
        <v>8</v>
      </c>
      <c r="L1006" t="s">
        <v>4275</v>
      </c>
      <c r="M1006" s="3" t="s">
        <v>4279</v>
      </c>
      <c r="N1006">
        <v>987.64</v>
      </c>
    </row>
    <row r="1007" spans="1:14" x14ac:dyDescent="0.35">
      <c r="A1007" t="s">
        <v>1019</v>
      </c>
      <c r="B1007" t="s">
        <v>4805</v>
      </c>
      <c r="C1007" t="s">
        <v>2212</v>
      </c>
      <c r="D1007" s="3" t="s">
        <v>2407</v>
      </c>
      <c r="E1007">
        <v>3</v>
      </c>
      <c r="F1007">
        <v>392.85</v>
      </c>
      <c r="G1007" t="s">
        <v>2929</v>
      </c>
      <c r="H1007" s="3" t="s">
        <v>3067</v>
      </c>
      <c r="I1007" s="3" t="s">
        <v>3072</v>
      </c>
      <c r="J1007" t="s">
        <v>4080</v>
      </c>
      <c r="K1007">
        <v>6</v>
      </c>
      <c r="L1007" t="s">
        <v>4292</v>
      </c>
      <c r="M1007" s="3" t="s">
        <v>4282</v>
      </c>
      <c r="N1007">
        <v>1178.55</v>
      </c>
    </row>
    <row r="1008" spans="1:14" x14ac:dyDescent="0.35">
      <c r="A1008" t="s">
        <v>1020</v>
      </c>
      <c r="B1008" t="s">
        <v>4866</v>
      </c>
      <c r="C1008" t="s">
        <v>2213</v>
      </c>
      <c r="D1008" s="3" t="s">
        <v>2405</v>
      </c>
      <c r="E1008">
        <v>5</v>
      </c>
      <c r="F1008">
        <v>420.98</v>
      </c>
      <c r="G1008" t="s">
        <v>2868</v>
      </c>
      <c r="H1008" s="3" t="s">
        <v>3069</v>
      </c>
      <c r="I1008" s="3" t="s">
        <v>3073</v>
      </c>
      <c r="J1008" t="s">
        <v>4081</v>
      </c>
      <c r="K1008">
        <v>7</v>
      </c>
      <c r="L1008" t="s">
        <v>4275</v>
      </c>
      <c r="M1008" s="3" t="s">
        <v>4281</v>
      </c>
      <c r="N1008">
        <v>2104.9</v>
      </c>
    </row>
    <row r="1009" spans="1:14" x14ac:dyDescent="0.35">
      <c r="A1009" t="s">
        <v>1021</v>
      </c>
      <c r="B1009" t="s">
        <v>4875</v>
      </c>
      <c r="C1009" t="s">
        <v>1699</v>
      </c>
      <c r="D1009" s="3" t="s">
        <v>2403</v>
      </c>
      <c r="E1009">
        <v>2</v>
      </c>
      <c r="F1009">
        <v>73.260000000000005</v>
      </c>
      <c r="G1009" t="s">
        <v>2499</v>
      </c>
      <c r="H1009" s="3" t="s">
        <v>3069</v>
      </c>
      <c r="I1009" s="3" t="s">
        <v>3074</v>
      </c>
      <c r="J1009" t="s">
        <v>4082</v>
      </c>
      <c r="K1009">
        <v>4</v>
      </c>
      <c r="L1009" t="s">
        <v>4277</v>
      </c>
      <c r="M1009" s="3" t="s">
        <v>4281</v>
      </c>
      <c r="N1009">
        <v>146.52000000000001</v>
      </c>
    </row>
    <row r="1010" spans="1:14" x14ac:dyDescent="0.35">
      <c r="A1010" t="s">
        <v>1022</v>
      </c>
      <c r="B1010" t="s">
        <v>4904</v>
      </c>
      <c r="C1010" t="s">
        <v>2214</v>
      </c>
      <c r="D1010" s="3" t="s">
        <v>2403</v>
      </c>
      <c r="E1010">
        <v>3</v>
      </c>
      <c r="F1010">
        <v>410.88</v>
      </c>
      <c r="G1010" t="s">
        <v>2916</v>
      </c>
      <c r="H1010" s="3" t="s">
        <v>3069</v>
      </c>
      <c r="I1010" s="3" t="s">
        <v>3073</v>
      </c>
      <c r="J1010" t="s">
        <v>4083</v>
      </c>
      <c r="K1010">
        <v>8</v>
      </c>
      <c r="L1010" t="s">
        <v>4276</v>
      </c>
      <c r="M1010" s="3" t="s">
        <v>4278</v>
      </c>
      <c r="N1010">
        <v>1232.6400000000001</v>
      </c>
    </row>
    <row r="1011" spans="1:14" x14ac:dyDescent="0.35">
      <c r="A1011" t="s">
        <v>1023</v>
      </c>
      <c r="B1011" t="s">
        <v>4905</v>
      </c>
      <c r="C1011" t="s">
        <v>2215</v>
      </c>
      <c r="D1011" s="3" t="s">
        <v>2405</v>
      </c>
      <c r="E1011">
        <v>2</v>
      </c>
      <c r="F1011">
        <v>176.46</v>
      </c>
      <c r="G1011" t="s">
        <v>2796</v>
      </c>
      <c r="H1011" s="3" t="s">
        <v>3067</v>
      </c>
      <c r="I1011" s="3" t="s">
        <v>3073</v>
      </c>
      <c r="J1011" t="s">
        <v>4084</v>
      </c>
      <c r="K1011">
        <v>2</v>
      </c>
      <c r="L1011" t="s">
        <v>4276</v>
      </c>
      <c r="M1011" s="3" t="s">
        <v>4280</v>
      </c>
      <c r="N1011">
        <v>352.92</v>
      </c>
    </row>
    <row r="1012" spans="1:14" x14ac:dyDescent="0.35">
      <c r="A1012" t="s">
        <v>1024</v>
      </c>
      <c r="B1012" t="s">
        <v>4906</v>
      </c>
      <c r="C1012" t="s">
        <v>2216</v>
      </c>
      <c r="D1012" s="3" t="s">
        <v>2403</v>
      </c>
      <c r="E1012">
        <v>3</v>
      </c>
      <c r="F1012">
        <v>659.57</v>
      </c>
      <c r="G1012" t="s">
        <v>2501</v>
      </c>
      <c r="H1012" s="3" t="s">
        <v>3067</v>
      </c>
      <c r="I1012" s="3" t="s">
        <v>3071</v>
      </c>
      <c r="J1012" t="s">
        <v>4085</v>
      </c>
      <c r="K1012">
        <v>6</v>
      </c>
      <c r="L1012" t="s">
        <v>4275</v>
      </c>
      <c r="M1012" s="3" t="s">
        <v>4280</v>
      </c>
      <c r="N1012">
        <v>1978.71</v>
      </c>
    </row>
    <row r="1013" spans="1:14" x14ac:dyDescent="0.35">
      <c r="A1013" t="s">
        <v>1025</v>
      </c>
      <c r="B1013" t="s">
        <v>4907</v>
      </c>
      <c r="C1013" t="s">
        <v>2217</v>
      </c>
      <c r="D1013" s="3" t="s">
        <v>2404</v>
      </c>
      <c r="E1013">
        <v>2</v>
      </c>
      <c r="F1013">
        <v>478.36</v>
      </c>
      <c r="G1013" t="s">
        <v>2646</v>
      </c>
      <c r="H1013" s="3" t="s">
        <v>3066</v>
      </c>
      <c r="I1013" s="3" t="s">
        <v>3070</v>
      </c>
      <c r="J1013" t="s">
        <v>4086</v>
      </c>
      <c r="K1013">
        <v>3</v>
      </c>
      <c r="L1013" t="s">
        <v>4292</v>
      </c>
      <c r="M1013" s="3" t="s">
        <v>4282</v>
      </c>
      <c r="N1013">
        <v>956.72</v>
      </c>
    </row>
    <row r="1014" spans="1:14" x14ac:dyDescent="0.35">
      <c r="A1014" t="s">
        <v>1026</v>
      </c>
      <c r="B1014" t="s">
        <v>4907</v>
      </c>
      <c r="C1014" t="s">
        <v>2218</v>
      </c>
      <c r="D1014" s="3" t="s">
        <v>2407</v>
      </c>
      <c r="E1014">
        <v>4</v>
      </c>
      <c r="F1014">
        <v>30.05</v>
      </c>
      <c r="G1014" t="s">
        <v>2676</v>
      </c>
      <c r="H1014" s="3" t="s">
        <v>3066</v>
      </c>
      <c r="I1014" s="3" t="s">
        <v>3072</v>
      </c>
      <c r="J1014" t="s">
        <v>4087</v>
      </c>
      <c r="K1014">
        <v>6</v>
      </c>
      <c r="L1014" t="s">
        <v>4292</v>
      </c>
      <c r="M1014" s="3" t="s">
        <v>4281</v>
      </c>
      <c r="N1014">
        <v>120.2</v>
      </c>
    </row>
    <row r="1015" spans="1:14" x14ac:dyDescent="0.35">
      <c r="A1015" t="s">
        <v>1027</v>
      </c>
      <c r="B1015" t="s">
        <v>4908</v>
      </c>
      <c r="C1015" t="s">
        <v>2219</v>
      </c>
      <c r="D1015" s="3" t="s">
        <v>2408</v>
      </c>
      <c r="E1015">
        <v>4</v>
      </c>
      <c r="F1015">
        <v>300.56</v>
      </c>
      <c r="G1015" t="s">
        <v>2463</v>
      </c>
      <c r="H1015" s="3" t="s">
        <v>3069</v>
      </c>
      <c r="I1015" s="3" t="s">
        <v>3071</v>
      </c>
      <c r="J1015" t="s">
        <v>4088</v>
      </c>
      <c r="K1015">
        <v>9</v>
      </c>
      <c r="L1015" t="s">
        <v>4276</v>
      </c>
      <c r="M1015" s="3" t="s">
        <v>4281</v>
      </c>
      <c r="N1015">
        <v>1202.24</v>
      </c>
    </row>
    <row r="1016" spans="1:14" x14ac:dyDescent="0.35">
      <c r="A1016" t="s">
        <v>1028</v>
      </c>
      <c r="B1016" t="s">
        <v>4673</v>
      </c>
      <c r="C1016" t="s">
        <v>2220</v>
      </c>
      <c r="D1016" s="3" t="s">
        <v>2405</v>
      </c>
      <c r="E1016">
        <v>5</v>
      </c>
      <c r="F1016">
        <v>226.45</v>
      </c>
      <c r="G1016" t="s">
        <v>2762</v>
      </c>
      <c r="H1016" s="3" t="s">
        <v>3065</v>
      </c>
      <c r="I1016" s="3" t="s">
        <v>3072</v>
      </c>
      <c r="J1016" t="s">
        <v>4089</v>
      </c>
      <c r="K1016">
        <v>6</v>
      </c>
      <c r="L1016" t="s">
        <v>4276</v>
      </c>
      <c r="M1016" s="3" t="s">
        <v>4280</v>
      </c>
      <c r="N1016">
        <v>1132.25</v>
      </c>
    </row>
    <row r="1017" spans="1:14" x14ac:dyDescent="0.35">
      <c r="A1017" t="s">
        <v>1029</v>
      </c>
      <c r="B1017" t="s">
        <v>4831</v>
      </c>
      <c r="C1017" t="s">
        <v>2221</v>
      </c>
      <c r="D1017" s="3" t="s">
        <v>2407</v>
      </c>
      <c r="E1017">
        <v>2</v>
      </c>
      <c r="F1017">
        <v>349.4</v>
      </c>
      <c r="G1017" t="s">
        <v>2838</v>
      </c>
      <c r="H1017" s="3" t="s">
        <v>3066</v>
      </c>
      <c r="I1017" s="3" t="s">
        <v>3070</v>
      </c>
      <c r="J1017" t="s">
        <v>4090</v>
      </c>
      <c r="K1017">
        <v>2</v>
      </c>
      <c r="L1017" t="s">
        <v>4275</v>
      </c>
      <c r="M1017" s="3" t="s">
        <v>4278</v>
      </c>
      <c r="N1017">
        <v>698.8</v>
      </c>
    </row>
    <row r="1018" spans="1:14" x14ac:dyDescent="0.35">
      <c r="A1018" t="s">
        <v>1030</v>
      </c>
      <c r="B1018" t="s">
        <v>4294</v>
      </c>
      <c r="C1018" t="s">
        <v>2222</v>
      </c>
      <c r="D1018" s="3" t="s">
        <v>2405</v>
      </c>
      <c r="E1018">
        <v>5</v>
      </c>
      <c r="F1018">
        <v>268.77999999999997</v>
      </c>
      <c r="G1018" t="s">
        <v>3002</v>
      </c>
      <c r="H1018" s="3" t="s">
        <v>3065</v>
      </c>
      <c r="I1018" s="3" t="s">
        <v>3073</v>
      </c>
      <c r="J1018" t="s">
        <v>4091</v>
      </c>
      <c r="K1018">
        <v>7</v>
      </c>
      <c r="L1018" t="s">
        <v>4277</v>
      </c>
      <c r="M1018" s="3" t="s">
        <v>4280</v>
      </c>
      <c r="N1018">
        <v>1343.9</v>
      </c>
    </row>
    <row r="1019" spans="1:14" x14ac:dyDescent="0.35">
      <c r="A1019" t="s">
        <v>1031</v>
      </c>
      <c r="B1019" t="s">
        <v>4909</v>
      </c>
      <c r="C1019" t="s">
        <v>2223</v>
      </c>
      <c r="D1019" s="3" t="s">
        <v>2406</v>
      </c>
      <c r="E1019">
        <v>2</v>
      </c>
      <c r="F1019">
        <v>680.85</v>
      </c>
      <c r="G1019" t="s">
        <v>3003</v>
      </c>
      <c r="H1019" s="3" t="s">
        <v>3068</v>
      </c>
      <c r="I1019" s="3" t="s">
        <v>3073</v>
      </c>
      <c r="J1019" t="s">
        <v>4092</v>
      </c>
      <c r="K1019">
        <v>6</v>
      </c>
      <c r="L1019" t="s">
        <v>4276</v>
      </c>
      <c r="M1019" s="3" t="s">
        <v>4279</v>
      </c>
      <c r="N1019">
        <v>1361.7</v>
      </c>
    </row>
    <row r="1020" spans="1:14" x14ac:dyDescent="0.35">
      <c r="A1020" t="s">
        <v>1032</v>
      </c>
      <c r="B1020" t="s">
        <v>4591</v>
      </c>
      <c r="C1020" t="s">
        <v>2224</v>
      </c>
      <c r="D1020" s="3" t="s">
        <v>2408</v>
      </c>
      <c r="E1020">
        <v>3</v>
      </c>
      <c r="F1020">
        <v>182.48</v>
      </c>
      <c r="G1020" t="s">
        <v>3004</v>
      </c>
      <c r="H1020" s="3" t="s">
        <v>3069</v>
      </c>
      <c r="I1020" s="3" t="s">
        <v>3073</v>
      </c>
      <c r="J1020" t="s">
        <v>4093</v>
      </c>
      <c r="K1020">
        <v>3</v>
      </c>
      <c r="L1020" t="s">
        <v>4292</v>
      </c>
      <c r="M1020" s="3" t="s">
        <v>4278</v>
      </c>
      <c r="N1020">
        <v>547.44000000000005</v>
      </c>
    </row>
    <row r="1021" spans="1:14" x14ac:dyDescent="0.35">
      <c r="A1021" t="s">
        <v>1033</v>
      </c>
      <c r="B1021" t="s">
        <v>4900</v>
      </c>
      <c r="C1021" t="s">
        <v>2225</v>
      </c>
      <c r="D1021" s="3" t="s">
        <v>2409</v>
      </c>
      <c r="E1021">
        <v>1</v>
      </c>
      <c r="F1021">
        <v>277.08999999999997</v>
      </c>
      <c r="G1021" t="s">
        <v>2694</v>
      </c>
      <c r="H1021" s="3" t="s">
        <v>3069</v>
      </c>
      <c r="I1021" s="3" t="s">
        <v>3072</v>
      </c>
      <c r="J1021" t="s">
        <v>4094</v>
      </c>
      <c r="K1021">
        <v>2</v>
      </c>
      <c r="L1021" t="s">
        <v>4275</v>
      </c>
      <c r="M1021" s="3" t="s">
        <v>4279</v>
      </c>
      <c r="N1021">
        <v>277.08999999999997</v>
      </c>
    </row>
    <row r="1022" spans="1:14" x14ac:dyDescent="0.35">
      <c r="A1022" t="s">
        <v>1034</v>
      </c>
      <c r="B1022" t="s">
        <v>4465</v>
      </c>
      <c r="C1022" t="s">
        <v>2226</v>
      </c>
      <c r="D1022" s="3" t="s">
        <v>2405</v>
      </c>
      <c r="E1022">
        <v>2</v>
      </c>
      <c r="F1022">
        <v>26.5</v>
      </c>
      <c r="G1022" t="s">
        <v>2714</v>
      </c>
      <c r="H1022" s="3" t="s">
        <v>3066</v>
      </c>
      <c r="I1022" s="3" t="s">
        <v>3073</v>
      </c>
      <c r="J1022" t="s">
        <v>4095</v>
      </c>
      <c r="K1022">
        <v>3</v>
      </c>
      <c r="L1022" t="s">
        <v>4275</v>
      </c>
      <c r="M1022" s="3" t="s">
        <v>4278</v>
      </c>
      <c r="N1022">
        <v>53</v>
      </c>
    </row>
    <row r="1023" spans="1:14" x14ac:dyDescent="0.35">
      <c r="A1023" t="s">
        <v>1035</v>
      </c>
      <c r="B1023" t="s">
        <v>4288</v>
      </c>
      <c r="C1023" t="s">
        <v>2227</v>
      </c>
      <c r="D1023" s="3" t="s">
        <v>2404</v>
      </c>
      <c r="E1023">
        <v>3</v>
      </c>
      <c r="F1023">
        <v>315.27</v>
      </c>
      <c r="G1023" t="s">
        <v>2961</v>
      </c>
      <c r="H1023" s="3" t="s">
        <v>3067</v>
      </c>
      <c r="I1023" s="3" t="s">
        <v>3071</v>
      </c>
      <c r="J1023" t="s">
        <v>4096</v>
      </c>
      <c r="K1023">
        <v>4</v>
      </c>
      <c r="L1023" t="s">
        <v>4275</v>
      </c>
      <c r="M1023" s="3" t="s">
        <v>4280</v>
      </c>
      <c r="N1023">
        <v>945.81</v>
      </c>
    </row>
    <row r="1024" spans="1:14" x14ac:dyDescent="0.35">
      <c r="A1024" t="s">
        <v>1036</v>
      </c>
      <c r="B1024" t="s">
        <v>4806</v>
      </c>
      <c r="C1024" t="s">
        <v>2228</v>
      </c>
      <c r="D1024" s="3" t="s">
        <v>2405</v>
      </c>
      <c r="E1024">
        <v>3</v>
      </c>
      <c r="F1024">
        <v>450.98</v>
      </c>
      <c r="G1024" t="s">
        <v>2877</v>
      </c>
      <c r="H1024" s="3" t="s">
        <v>3067</v>
      </c>
      <c r="I1024" s="3" t="s">
        <v>3070</v>
      </c>
      <c r="J1024" t="s">
        <v>4097</v>
      </c>
      <c r="K1024">
        <v>8</v>
      </c>
      <c r="L1024" t="s">
        <v>4275</v>
      </c>
      <c r="M1024" s="3" t="s">
        <v>4279</v>
      </c>
      <c r="N1024">
        <v>1352.94</v>
      </c>
    </row>
    <row r="1025" spans="1:14" x14ac:dyDescent="0.35">
      <c r="A1025" t="s">
        <v>1037</v>
      </c>
      <c r="B1025" t="s">
        <v>4580</v>
      </c>
      <c r="C1025" t="s">
        <v>2229</v>
      </c>
      <c r="D1025" s="3" t="s">
        <v>2408</v>
      </c>
      <c r="E1025">
        <v>5</v>
      </c>
      <c r="F1025">
        <v>233.67</v>
      </c>
      <c r="G1025" t="s">
        <v>2493</v>
      </c>
      <c r="H1025" s="3" t="s">
        <v>3069</v>
      </c>
      <c r="I1025" s="3" t="s">
        <v>3070</v>
      </c>
      <c r="J1025" t="s">
        <v>4098</v>
      </c>
      <c r="K1025">
        <v>10</v>
      </c>
      <c r="L1025" t="s">
        <v>4292</v>
      </c>
      <c r="M1025" s="3" t="s">
        <v>4279</v>
      </c>
      <c r="N1025">
        <v>1168.3499999999999</v>
      </c>
    </row>
    <row r="1026" spans="1:14" x14ac:dyDescent="0.35">
      <c r="A1026" t="s">
        <v>1038</v>
      </c>
      <c r="B1026" t="s">
        <v>4696</v>
      </c>
      <c r="C1026" t="s">
        <v>2230</v>
      </c>
      <c r="D1026" s="3" t="s">
        <v>2406</v>
      </c>
      <c r="E1026">
        <v>3</v>
      </c>
      <c r="F1026">
        <v>367.75</v>
      </c>
      <c r="G1026" t="s">
        <v>2769</v>
      </c>
      <c r="H1026" s="3" t="s">
        <v>3069</v>
      </c>
      <c r="I1026" s="3" t="s">
        <v>3074</v>
      </c>
      <c r="J1026" t="s">
        <v>4099</v>
      </c>
      <c r="K1026">
        <v>7</v>
      </c>
      <c r="L1026" t="s">
        <v>4276</v>
      </c>
      <c r="M1026" s="3" t="s">
        <v>4281</v>
      </c>
      <c r="N1026">
        <v>1103.25</v>
      </c>
    </row>
    <row r="1027" spans="1:14" x14ac:dyDescent="0.35">
      <c r="A1027" t="s">
        <v>1039</v>
      </c>
      <c r="B1027" t="s">
        <v>4555</v>
      </c>
      <c r="C1027" t="s">
        <v>2231</v>
      </c>
      <c r="D1027" s="3" t="s">
        <v>2406</v>
      </c>
      <c r="E1027">
        <v>1</v>
      </c>
      <c r="F1027">
        <v>23.53</v>
      </c>
      <c r="G1027" t="s">
        <v>2548</v>
      </c>
      <c r="H1027" s="3" t="s">
        <v>3068</v>
      </c>
      <c r="I1027" s="3" t="s">
        <v>3073</v>
      </c>
      <c r="J1027" t="s">
        <v>4100</v>
      </c>
      <c r="K1027">
        <v>2</v>
      </c>
      <c r="L1027" t="s">
        <v>4276</v>
      </c>
      <c r="M1027" s="3" t="s">
        <v>4278</v>
      </c>
      <c r="N1027">
        <v>23.53</v>
      </c>
    </row>
    <row r="1028" spans="1:14" x14ac:dyDescent="0.35">
      <c r="A1028" t="s">
        <v>1040</v>
      </c>
      <c r="B1028" t="s">
        <v>4315</v>
      </c>
      <c r="C1028" t="s">
        <v>2232</v>
      </c>
      <c r="D1028" s="3" t="s">
        <v>2403</v>
      </c>
      <c r="E1028">
        <v>1</v>
      </c>
      <c r="F1028">
        <v>677.48</v>
      </c>
      <c r="G1028" t="s">
        <v>2521</v>
      </c>
      <c r="H1028" s="3" t="s">
        <v>3066</v>
      </c>
      <c r="I1028" s="3" t="s">
        <v>3073</v>
      </c>
      <c r="J1028" t="s">
        <v>4101</v>
      </c>
      <c r="K1028">
        <v>1</v>
      </c>
      <c r="L1028" t="s">
        <v>4277</v>
      </c>
      <c r="M1028" s="3" t="s">
        <v>4281</v>
      </c>
      <c r="N1028">
        <v>677.48</v>
      </c>
    </row>
    <row r="1029" spans="1:14" x14ac:dyDescent="0.35">
      <c r="A1029" t="s">
        <v>1041</v>
      </c>
      <c r="B1029" t="s">
        <v>4910</v>
      </c>
      <c r="C1029" t="s">
        <v>2233</v>
      </c>
      <c r="D1029" s="3" t="s">
        <v>2408</v>
      </c>
      <c r="E1029">
        <v>4</v>
      </c>
      <c r="F1029">
        <v>554.83000000000004</v>
      </c>
      <c r="G1029" t="s">
        <v>2908</v>
      </c>
      <c r="H1029" s="3" t="s">
        <v>3069</v>
      </c>
      <c r="I1029" s="3" t="s">
        <v>3072</v>
      </c>
      <c r="J1029" t="s">
        <v>4102</v>
      </c>
      <c r="K1029">
        <v>6</v>
      </c>
      <c r="L1029" t="s">
        <v>4292</v>
      </c>
      <c r="M1029" s="3" t="s">
        <v>4282</v>
      </c>
      <c r="N1029">
        <v>2219.3200000000002</v>
      </c>
    </row>
    <row r="1030" spans="1:14" x14ac:dyDescent="0.35">
      <c r="A1030" t="s">
        <v>1042</v>
      </c>
      <c r="B1030" t="s">
        <v>4380</v>
      </c>
      <c r="C1030" t="s">
        <v>2234</v>
      </c>
      <c r="D1030" s="3" t="s">
        <v>2409</v>
      </c>
      <c r="E1030">
        <v>4</v>
      </c>
      <c r="F1030">
        <v>440.31</v>
      </c>
      <c r="G1030" t="s">
        <v>2610</v>
      </c>
      <c r="H1030" s="3" t="s">
        <v>3069</v>
      </c>
      <c r="I1030" s="3" t="s">
        <v>3071</v>
      </c>
      <c r="J1030" t="s">
        <v>4103</v>
      </c>
      <c r="K1030">
        <v>6</v>
      </c>
      <c r="L1030" t="s">
        <v>4292</v>
      </c>
      <c r="M1030" s="3" t="s">
        <v>4278</v>
      </c>
      <c r="N1030">
        <v>1761.24</v>
      </c>
    </row>
    <row r="1031" spans="1:14" x14ac:dyDescent="0.35">
      <c r="A1031" t="s">
        <v>1043</v>
      </c>
      <c r="B1031" t="s">
        <v>4911</v>
      </c>
      <c r="C1031" t="s">
        <v>2235</v>
      </c>
      <c r="D1031" s="3" t="s">
        <v>2409</v>
      </c>
      <c r="E1031">
        <v>1</v>
      </c>
      <c r="F1031">
        <v>87.06</v>
      </c>
      <c r="G1031" t="s">
        <v>2988</v>
      </c>
      <c r="H1031" s="3" t="s">
        <v>3067</v>
      </c>
      <c r="I1031" s="3" t="s">
        <v>3070</v>
      </c>
      <c r="J1031" t="s">
        <v>4104</v>
      </c>
      <c r="K1031">
        <v>4</v>
      </c>
      <c r="L1031" t="s">
        <v>4276</v>
      </c>
      <c r="M1031" s="3" t="s">
        <v>4280</v>
      </c>
      <c r="N1031">
        <v>87.06</v>
      </c>
    </row>
    <row r="1032" spans="1:14" x14ac:dyDescent="0.35">
      <c r="A1032" t="s">
        <v>1044</v>
      </c>
      <c r="B1032" t="s">
        <v>4560</v>
      </c>
      <c r="C1032" t="s">
        <v>2236</v>
      </c>
      <c r="D1032" s="3" t="s">
        <v>2404</v>
      </c>
      <c r="E1032">
        <v>4</v>
      </c>
      <c r="F1032">
        <v>245.28</v>
      </c>
      <c r="G1032" t="s">
        <v>3005</v>
      </c>
      <c r="H1032" s="3" t="s">
        <v>3067</v>
      </c>
      <c r="I1032" s="3" t="s">
        <v>3073</v>
      </c>
      <c r="J1032" t="s">
        <v>4105</v>
      </c>
      <c r="K1032">
        <v>6</v>
      </c>
      <c r="L1032" t="s">
        <v>4277</v>
      </c>
      <c r="M1032" s="3" t="s">
        <v>4280</v>
      </c>
      <c r="N1032">
        <v>981.12</v>
      </c>
    </row>
    <row r="1033" spans="1:14" x14ac:dyDescent="0.35">
      <c r="A1033" t="s">
        <v>1045</v>
      </c>
      <c r="B1033" t="s">
        <v>4569</v>
      </c>
      <c r="C1033" t="s">
        <v>2237</v>
      </c>
      <c r="D1033" s="3" t="s">
        <v>2404</v>
      </c>
      <c r="E1033">
        <v>5</v>
      </c>
      <c r="F1033">
        <v>664.51</v>
      </c>
      <c r="G1033" t="s">
        <v>3006</v>
      </c>
      <c r="H1033" s="3" t="s">
        <v>3065</v>
      </c>
      <c r="I1033" s="3" t="s">
        <v>3074</v>
      </c>
      <c r="J1033" t="s">
        <v>4106</v>
      </c>
      <c r="K1033">
        <v>8</v>
      </c>
      <c r="L1033" t="s">
        <v>4275</v>
      </c>
      <c r="M1033" s="3" t="s">
        <v>4280</v>
      </c>
      <c r="N1033">
        <v>3322.55</v>
      </c>
    </row>
    <row r="1034" spans="1:14" x14ac:dyDescent="0.35">
      <c r="A1034" t="s">
        <v>1046</v>
      </c>
      <c r="B1034" t="s">
        <v>4481</v>
      </c>
      <c r="C1034" t="s">
        <v>2238</v>
      </c>
      <c r="D1034" s="3" t="s">
        <v>2406</v>
      </c>
      <c r="E1034">
        <v>1</v>
      </c>
      <c r="F1034">
        <v>618.67999999999995</v>
      </c>
      <c r="G1034" t="s">
        <v>2653</v>
      </c>
      <c r="H1034" s="3" t="s">
        <v>3066</v>
      </c>
      <c r="I1034" s="3" t="s">
        <v>3073</v>
      </c>
      <c r="J1034" t="s">
        <v>4107</v>
      </c>
      <c r="K1034">
        <v>6</v>
      </c>
      <c r="L1034" t="s">
        <v>4277</v>
      </c>
      <c r="M1034" s="3" t="s">
        <v>4279</v>
      </c>
      <c r="N1034">
        <v>618.67999999999995</v>
      </c>
    </row>
    <row r="1035" spans="1:14" x14ac:dyDescent="0.35">
      <c r="A1035" t="s">
        <v>1047</v>
      </c>
      <c r="B1035" t="s">
        <v>4912</v>
      </c>
      <c r="C1035" t="s">
        <v>2239</v>
      </c>
      <c r="D1035" s="3" t="s">
        <v>2403</v>
      </c>
      <c r="E1035">
        <v>1</v>
      </c>
      <c r="F1035">
        <v>370.85</v>
      </c>
      <c r="G1035" t="s">
        <v>3007</v>
      </c>
      <c r="H1035" s="3" t="s">
        <v>3068</v>
      </c>
      <c r="I1035" s="3" t="s">
        <v>3073</v>
      </c>
      <c r="J1035" t="s">
        <v>4108</v>
      </c>
      <c r="K1035">
        <v>2</v>
      </c>
      <c r="L1035" t="s">
        <v>4276</v>
      </c>
      <c r="M1035" s="3" t="s">
        <v>4279</v>
      </c>
      <c r="N1035">
        <v>370.85</v>
      </c>
    </row>
    <row r="1036" spans="1:14" x14ac:dyDescent="0.35">
      <c r="A1036" t="s">
        <v>1048</v>
      </c>
      <c r="B1036" t="s">
        <v>4736</v>
      </c>
      <c r="C1036" t="s">
        <v>2240</v>
      </c>
      <c r="D1036" s="3" t="s">
        <v>2407</v>
      </c>
      <c r="E1036">
        <v>4</v>
      </c>
      <c r="F1036">
        <v>517.98</v>
      </c>
      <c r="G1036" t="s">
        <v>3008</v>
      </c>
      <c r="H1036" s="3" t="s">
        <v>3069</v>
      </c>
      <c r="I1036" s="3" t="s">
        <v>3071</v>
      </c>
      <c r="J1036" t="s">
        <v>4109</v>
      </c>
      <c r="K1036">
        <v>8</v>
      </c>
      <c r="L1036" t="s">
        <v>4276</v>
      </c>
      <c r="M1036" s="3" t="s">
        <v>4281</v>
      </c>
      <c r="N1036">
        <v>2071.92</v>
      </c>
    </row>
    <row r="1037" spans="1:14" x14ac:dyDescent="0.35">
      <c r="A1037" t="s">
        <v>1049</v>
      </c>
      <c r="B1037" t="s">
        <v>4913</v>
      </c>
      <c r="C1037" t="s">
        <v>2241</v>
      </c>
      <c r="D1037" s="3" t="s">
        <v>2408</v>
      </c>
      <c r="E1037">
        <v>4</v>
      </c>
      <c r="F1037">
        <v>506.11</v>
      </c>
      <c r="G1037" t="s">
        <v>3009</v>
      </c>
      <c r="H1037" s="3" t="s">
        <v>3069</v>
      </c>
      <c r="I1037" s="3" t="s">
        <v>3071</v>
      </c>
      <c r="J1037" t="s">
        <v>4110</v>
      </c>
      <c r="K1037">
        <v>5</v>
      </c>
      <c r="L1037" t="s">
        <v>4292</v>
      </c>
      <c r="M1037" s="3" t="s">
        <v>4279</v>
      </c>
      <c r="N1037">
        <v>2024.44</v>
      </c>
    </row>
    <row r="1038" spans="1:14" x14ac:dyDescent="0.35">
      <c r="A1038" t="s">
        <v>1050</v>
      </c>
      <c r="B1038" t="s">
        <v>4867</v>
      </c>
      <c r="C1038" t="s">
        <v>2242</v>
      </c>
      <c r="D1038" s="3" t="s">
        <v>2404</v>
      </c>
      <c r="E1038">
        <v>3</v>
      </c>
      <c r="F1038">
        <v>413.83</v>
      </c>
      <c r="G1038" t="s">
        <v>2474</v>
      </c>
      <c r="H1038" s="3" t="s">
        <v>3068</v>
      </c>
      <c r="I1038" s="3" t="s">
        <v>3070</v>
      </c>
      <c r="J1038" t="s">
        <v>4111</v>
      </c>
      <c r="K1038">
        <v>8</v>
      </c>
      <c r="L1038" t="s">
        <v>4275</v>
      </c>
      <c r="M1038" s="3" t="s">
        <v>4281</v>
      </c>
      <c r="N1038">
        <v>1241.49</v>
      </c>
    </row>
    <row r="1039" spans="1:14" x14ac:dyDescent="0.35">
      <c r="A1039" t="s">
        <v>1051</v>
      </c>
      <c r="B1039" t="s">
        <v>4425</v>
      </c>
      <c r="C1039" t="s">
        <v>2243</v>
      </c>
      <c r="D1039" s="3" t="s">
        <v>2407</v>
      </c>
      <c r="E1039">
        <v>1</v>
      </c>
      <c r="F1039">
        <v>249.81</v>
      </c>
      <c r="G1039" t="s">
        <v>2875</v>
      </c>
      <c r="H1039" s="3" t="s">
        <v>3069</v>
      </c>
      <c r="I1039" s="3" t="s">
        <v>3074</v>
      </c>
      <c r="J1039" t="s">
        <v>4112</v>
      </c>
      <c r="K1039">
        <v>1</v>
      </c>
      <c r="L1039" t="s">
        <v>4275</v>
      </c>
      <c r="M1039" s="3" t="s">
        <v>4282</v>
      </c>
      <c r="N1039">
        <v>249.81</v>
      </c>
    </row>
    <row r="1040" spans="1:14" x14ac:dyDescent="0.35">
      <c r="A1040" t="s">
        <v>1052</v>
      </c>
      <c r="B1040" t="s">
        <v>4459</v>
      </c>
      <c r="C1040" t="s">
        <v>2244</v>
      </c>
      <c r="D1040" s="3" t="s">
        <v>2405</v>
      </c>
      <c r="E1040">
        <v>3</v>
      </c>
      <c r="F1040">
        <v>362.53</v>
      </c>
      <c r="G1040" t="s">
        <v>3010</v>
      </c>
      <c r="H1040" s="3" t="s">
        <v>3065</v>
      </c>
      <c r="I1040" s="3" t="s">
        <v>3072</v>
      </c>
      <c r="J1040" t="s">
        <v>4113</v>
      </c>
      <c r="K1040">
        <v>5</v>
      </c>
      <c r="L1040" t="s">
        <v>4292</v>
      </c>
      <c r="M1040" s="3" t="s">
        <v>4281</v>
      </c>
      <c r="N1040">
        <v>1087.5899999999999</v>
      </c>
    </row>
    <row r="1041" spans="1:14" x14ac:dyDescent="0.35">
      <c r="A1041" t="s">
        <v>1053</v>
      </c>
      <c r="B1041" t="s">
        <v>4448</v>
      </c>
      <c r="C1041" t="s">
        <v>2245</v>
      </c>
      <c r="D1041" s="3" t="s">
        <v>2409</v>
      </c>
      <c r="E1041">
        <v>2</v>
      </c>
      <c r="F1041">
        <v>299.23</v>
      </c>
      <c r="G1041" t="s">
        <v>3011</v>
      </c>
      <c r="H1041" s="3" t="s">
        <v>3067</v>
      </c>
      <c r="I1041" s="3" t="s">
        <v>3071</v>
      </c>
      <c r="J1041" t="s">
        <v>4114</v>
      </c>
      <c r="K1041">
        <v>2</v>
      </c>
      <c r="L1041" t="s">
        <v>4277</v>
      </c>
      <c r="M1041" s="3" t="s">
        <v>4278</v>
      </c>
      <c r="N1041">
        <v>598.46</v>
      </c>
    </row>
    <row r="1042" spans="1:14" x14ac:dyDescent="0.35">
      <c r="A1042" t="s">
        <v>1054</v>
      </c>
      <c r="B1042" t="s">
        <v>4659</v>
      </c>
      <c r="C1042" t="s">
        <v>2246</v>
      </c>
      <c r="D1042" s="3" t="s">
        <v>2405</v>
      </c>
      <c r="E1042">
        <v>1</v>
      </c>
      <c r="F1042">
        <v>536.07000000000005</v>
      </c>
      <c r="G1042" t="s">
        <v>2817</v>
      </c>
      <c r="H1042" s="3" t="s">
        <v>3065</v>
      </c>
      <c r="I1042" s="3" t="s">
        <v>3073</v>
      </c>
      <c r="J1042" t="s">
        <v>4115</v>
      </c>
      <c r="K1042">
        <v>5</v>
      </c>
      <c r="L1042" t="s">
        <v>4276</v>
      </c>
      <c r="M1042" s="3" t="s">
        <v>4282</v>
      </c>
      <c r="N1042">
        <v>536.07000000000005</v>
      </c>
    </row>
    <row r="1043" spans="1:14" x14ac:dyDescent="0.35">
      <c r="A1043" t="s">
        <v>1055</v>
      </c>
      <c r="B1043" t="s">
        <v>4375</v>
      </c>
      <c r="C1043" t="s">
        <v>2247</v>
      </c>
      <c r="D1043" s="3" t="s">
        <v>2403</v>
      </c>
      <c r="E1043">
        <v>4</v>
      </c>
      <c r="F1043">
        <v>558.9</v>
      </c>
      <c r="G1043" t="s">
        <v>2608</v>
      </c>
      <c r="H1043" s="3" t="s">
        <v>3068</v>
      </c>
      <c r="I1043" s="3" t="s">
        <v>3070</v>
      </c>
      <c r="J1043" t="s">
        <v>4116</v>
      </c>
      <c r="K1043">
        <v>9</v>
      </c>
      <c r="L1043" t="s">
        <v>4277</v>
      </c>
      <c r="M1043" s="3" t="s">
        <v>4282</v>
      </c>
      <c r="N1043">
        <v>2235.6</v>
      </c>
    </row>
    <row r="1044" spans="1:14" x14ac:dyDescent="0.35">
      <c r="A1044" t="s">
        <v>1056</v>
      </c>
      <c r="B1044" t="s">
        <v>4349</v>
      </c>
      <c r="C1044" t="s">
        <v>2248</v>
      </c>
      <c r="D1044" s="3" t="s">
        <v>2405</v>
      </c>
      <c r="E1044">
        <v>2</v>
      </c>
      <c r="F1044">
        <v>409.75</v>
      </c>
      <c r="G1044" t="s">
        <v>2681</v>
      </c>
      <c r="H1044" s="3" t="s">
        <v>3065</v>
      </c>
      <c r="I1044" s="3" t="s">
        <v>3070</v>
      </c>
      <c r="J1044" t="s">
        <v>4117</v>
      </c>
      <c r="K1044">
        <v>2</v>
      </c>
      <c r="L1044" t="s">
        <v>4277</v>
      </c>
      <c r="M1044" s="3" t="s">
        <v>4281</v>
      </c>
      <c r="N1044">
        <v>819.5</v>
      </c>
    </row>
    <row r="1045" spans="1:14" x14ac:dyDescent="0.35">
      <c r="A1045" t="s">
        <v>1057</v>
      </c>
      <c r="B1045" t="s">
        <v>4914</v>
      </c>
      <c r="C1045" t="s">
        <v>2249</v>
      </c>
      <c r="D1045" s="3" t="s">
        <v>2405</v>
      </c>
      <c r="E1045">
        <v>2</v>
      </c>
      <c r="F1045">
        <v>179.96</v>
      </c>
      <c r="G1045" t="s">
        <v>2991</v>
      </c>
      <c r="H1045" s="3" t="s">
        <v>3068</v>
      </c>
      <c r="I1045" s="3" t="s">
        <v>3070</v>
      </c>
      <c r="J1045" t="s">
        <v>4118</v>
      </c>
      <c r="K1045">
        <v>5</v>
      </c>
      <c r="L1045" t="s">
        <v>4292</v>
      </c>
      <c r="M1045" s="3" t="s">
        <v>4278</v>
      </c>
      <c r="N1045">
        <v>359.92</v>
      </c>
    </row>
    <row r="1046" spans="1:14" x14ac:dyDescent="0.35">
      <c r="A1046" t="s">
        <v>1058</v>
      </c>
      <c r="B1046" t="s">
        <v>4734</v>
      </c>
      <c r="C1046" t="s">
        <v>2250</v>
      </c>
      <c r="D1046" s="3" t="s">
        <v>2407</v>
      </c>
      <c r="E1046">
        <v>1</v>
      </c>
      <c r="F1046">
        <v>38.49</v>
      </c>
      <c r="G1046" t="s">
        <v>3012</v>
      </c>
      <c r="H1046" s="3" t="s">
        <v>3067</v>
      </c>
      <c r="I1046" s="3" t="s">
        <v>3073</v>
      </c>
      <c r="J1046" t="s">
        <v>4119</v>
      </c>
      <c r="K1046">
        <v>4</v>
      </c>
      <c r="L1046" t="s">
        <v>4276</v>
      </c>
      <c r="M1046" s="3" t="s">
        <v>4279</v>
      </c>
      <c r="N1046">
        <v>38.49</v>
      </c>
    </row>
    <row r="1047" spans="1:14" x14ac:dyDescent="0.35">
      <c r="A1047" t="s">
        <v>1059</v>
      </c>
      <c r="B1047" t="s">
        <v>4312</v>
      </c>
      <c r="C1047" t="s">
        <v>2251</v>
      </c>
      <c r="D1047" s="3" t="s">
        <v>2408</v>
      </c>
      <c r="E1047">
        <v>5</v>
      </c>
      <c r="F1047">
        <v>316.39999999999998</v>
      </c>
      <c r="G1047" t="s">
        <v>3013</v>
      </c>
      <c r="H1047" s="3" t="s">
        <v>3068</v>
      </c>
      <c r="I1047" s="3" t="s">
        <v>3072</v>
      </c>
      <c r="J1047" t="s">
        <v>4120</v>
      </c>
      <c r="K1047">
        <v>7</v>
      </c>
      <c r="L1047" t="s">
        <v>4292</v>
      </c>
      <c r="M1047" s="3" t="s">
        <v>4280</v>
      </c>
      <c r="N1047">
        <v>1582</v>
      </c>
    </row>
    <row r="1048" spans="1:14" x14ac:dyDescent="0.35">
      <c r="A1048" t="s">
        <v>1060</v>
      </c>
      <c r="B1048" t="s">
        <v>4834</v>
      </c>
      <c r="C1048" t="s">
        <v>2252</v>
      </c>
      <c r="D1048" s="3" t="s">
        <v>2405</v>
      </c>
      <c r="E1048">
        <v>3</v>
      </c>
      <c r="F1048">
        <v>547.15</v>
      </c>
      <c r="G1048" t="s">
        <v>3014</v>
      </c>
      <c r="H1048" s="3" t="s">
        <v>3066</v>
      </c>
      <c r="I1048" s="3" t="s">
        <v>3070</v>
      </c>
      <c r="J1048" t="s">
        <v>4121</v>
      </c>
      <c r="K1048">
        <v>4</v>
      </c>
      <c r="L1048" t="s">
        <v>4277</v>
      </c>
      <c r="M1048" s="3" t="s">
        <v>4278</v>
      </c>
      <c r="N1048">
        <v>1641.45</v>
      </c>
    </row>
    <row r="1049" spans="1:14" x14ac:dyDescent="0.35">
      <c r="A1049" t="s">
        <v>1061</v>
      </c>
      <c r="B1049" t="s">
        <v>4751</v>
      </c>
      <c r="C1049" t="s">
        <v>2253</v>
      </c>
      <c r="D1049" s="3" t="s">
        <v>2406</v>
      </c>
      <c r="E1049">
        <v>4</v>
      </c>
      <c r="F1049">
        <v>540.34</v>
      </c>
      <c r="G1049" t="s">
        <v>3015</v>
      </c>
      <c r="H1049" s="3" t="s">
        <v>3068</v>
      </c>
      <c r="I1049" s="3" t="s">
        <v>3070</v>
      </c>
      <c r="J1049" t="s">
        <v>4122</v>
      </c>
      <c r="K1049">
        <v>6</v>
      </c>
      <c r="L1049" t="s">
        <v>4277</v>
      </c>
      <c r="M1049" s="3" t="s">
        <v>4279</v>
      </c>
      <c r="N1049">
        <v>2161.36</v>
      </c>
    </row>
    <row r="1050" spans="1:14" x14ac:dyDescent="0.35">
      <c r="A1050" t="s">
        <v>1062</v>
      </c>
      <c r="B1050" t="s">
        <v>4366</v>
      </c>
      <c r="C1050" t="s">
        <v>2254</v>
      </c>
      <c r="D1050" s="3" t="s">
        <v>2403</v>
      </c>
      <c r="E1050">
        <v>4</v>
      </c>
      <c r="F1050">
        <v>73.650000000000006</v>
      </c>
      <c r="G1050" t="s">
        <v>3016</v>
      </c>
      <c r="H1050" s="3" t="s">
        <v>3065</v>
      </c>
      <c r="I1050" s="3" t="s">
        <v>3070</v>
      </c>
      <c r="J1050" t="s">
        <v>4123</v>
      </c>
      <c r="K1050">
        <v>9</v>
      </c>
      <c r="L1050" t="s">
        <v>4292</v>
      </c>
      <c r="M1050" s="3" t="s">
        <v>4282</v>
      </c>
      <c r="N1050">
        <v>294.60000000000002</v>
      </c>
    </row>
    <row r="1051" spans="1:14" x14ac:dyDescent="0.35">
      <c r="A1051" t="s">
        <v>1063</v>
      </c>
      <c r="B1051" t="s">
        <v>4692</v>
      </c>
      <c r="C1051" t="s">
        <v>2255</v>
      </c>
      <c r="D1051" s="3" t="s">
        <v>2409</v>
      </c>
      <c r="E1051">
        <v>5</v>
      </c>
      <c r="F1051">
        <v>391.86</v>
      </c>
      <c r="G1051" t="s">
        <v>2430</v>
      </c>
      <c r="H1051" s="3" t="s">
        <v>3067</v>
      </c>
      <c r="I1051" s="3" t="s">
        <v>3070</v>
      </c>
      <c r="J1051" t="s">
        <v>4124</v>
      </c>
      <c r="K1051">
        <v>6</v>
      </c>
      <c r="L1051" t="s">
        <v>4292</v>
      </c>
      <c r="M1051" s="3" t="s">
        <v>4278</v>
      </c>
      <c r="N1051">
        <v>1959.3</v>
      </c>
    </row>
    <row r="1052" spans="1:14" x14ac:dyDescent="0.35">
      <c r="A1052" t="s">
        <v>1064</v>
      </c>
      <c r="B1052" t="s">
        <v>4322</v>
      </c>
      <c r="C1052" t="s">
        <v>2256</v>
      </c>
      <c r="D1052" s="3" t="s">
        <v>2408</v>
      </c>
      <c r="E1052">
        <v>5</v>
      </c>
      <c r="F1052">
        <v>69.7</v>
      </c>
      <c r="G1052" t="s">
        <v>2805</v>
      </c>
      <c r="H1052" s="3" t="s">
        <v>3066</v>
      </c>
      <c r="I1052" s="3" t="s">
        <v>3072</v>
      </c>
      <c r="J1052" t="s">
        <v>4125</v>
      </c>
      <c r="K1052">
        <v>9</v>
      </c>
      <c r="L1052" t="s">
        <v>4292</v>
      </c>
      <c r="M1052" s="3" t="s">
        <v>4278</v>
      </c>
      <c r="N1052">
        <v>348.5</v>
      </c>
    </row>
    <row r="1053" spans="1:14" x14ac:dyDescent="0.35">
      <c r="A1053" t="s">
        <v>1065</v>
      </c>
      <c r="B1053" t="s">
        <v>4660</v>
      </c>
      <c r="C1053" t="s">
        <v>2257</v>
      </c>
      <c r="D1053" s="3" t="s">
        <v>2403</v>
      </c>
      <c r="E1053">
        <v>5</v>
      </c>
      <c r="F1053">
        <v>26.43</v>
      </c>
      <c r="G1053" t="s">
        <v>3017</v>
      </c>
      <c r="H1053" s="3" t="s">
        <v>3068</v>
      </c>
      <c r="I1053" s="3" t="s">
        <v>3070</v>
      </c>
      <c r="J1053" t="s">
        <v>4126</v>
      </c>
      <c r="K1053">
        <v>5</v>
      </c>
      <c r="L1053" t="s">
        <v>4276</v>
      </c>
      <c r="M1053" s="3" t="s">
        <v>4281</v>
      </c>
      <c r="N1053">
        <v>132.15</v>
      </c>
    </row>
    <row r="1054" spans="1:14" x14ac:dyDescent="0.35">
      <c r="A1054" t="s">
        <v>1066</v>
      </c>
      <c r="B1054" t="s">
        <v>4915</v>
      </c>
      <c r="C1054" t="s">
        <v>2258</v>
      </c>
      <c r="D1054" s="3" t="s">
        <v>2405</v>
      </c>
      <c r="E1054">
        <v>1</v>
      </c>
      <c r="F1054">
        <v>531.74</v>
      </c>
      <c r="G1054" t="s">
        <v>3018</v>
      </c>
      <c r="H1054" s="3" t="s">
        <v>3066</v>
      </c>
      <c r="I1054" s="3" t="s">
        <v>3070</v>
      </c>
      <c r="J1054" t="s">
        <v>4127</v>
      </c>
      <c r="K1054">
        <v>1</v>
      </c>
      <c r="L1054" t="s">
        <v>4277</v>
      </c>
      <c r="M1054" s="3" t="s">
        <v>4282</v>
      </c>
      <c r="N1054">
        <v>531.74</v>
      </c>
    </row>
    <row r="1055" spans="1:14" x14ac:dyDescent="0.35">
      <c r="A1055" t="s">
        <v>1067</v>
      </c>
      <c r="B1055" t="s">
        <v>4916</v>
      </c>
      <c r="C1055" t="s">
        <v>2259</v>
      </c>
      <c r="D1055" s="3" t="s">
        <v>2404</v>
      </c>
      <c r="E1055">
        <v>2</v>
      </c>
      <c r="F1055">
        <v>496.62</v>
      </c>
      <c r="G1055" t="s">
        <v>2984</v>
      </c>
      <c r="H1055" s="3" t="s">
        <v>3066</v>
      </c>
      <c r="I1055" s="3" t="s">
        <v>3074</v>
      </c>
      <c r="J1055" t="s">
        <v>4128</v>
      </c>
      <c r="K1055">
        <v>2</v>
      </c>
      <c r="L1055" t="s">
        <v>4275</v>
      </c>
      <c r="M1055" s="3" t="s">
        <v>4278</v>
      </c>
      <c r="N1055">
        <v>993.24</v>
      </c>
    </row>
    <row r="1056" spans="1:14" x14ac:dyDescent="0.35">
      <c r="A1056" t="s">
        <v>1068</v>
      </c>
      <c r="B1056" t="s">
        <v>4917</v>
      </c>
      <c r="C1056" t="s">
        <v>2260</v>
      </c>
      <c r="D1056" s="3" t="s">
        <v>2407</v>
      </c>
      <c r="E1056">
        <v>1</v>
      </c>
      <c r="F1056">
        <v>660.66</v>
      </c>
      <c r="G1056" t="s">
        <v>2490</v>
      </c>
      <c r="H1056" s="3" t="s">
        <v>3065</v>
      </c>
      <c r="I1056" s="3" t="s">
        <v>3073</v>
      </c>
      <c r="J1056" t="s">
        <v>4129</v>
      </c>
      <c r="K1056">
        <v>3</v>
      </c>
      <c r="L1056" t="s">
        <v>4277</v>
      </c>
      <c r="M1056" s="3" t="s">
        <v>4278</v>
      </c>
      <c r="N1056">
        <v>660.66</v>
      </c>
    </row>
    <row r="1057" spans="1:14" x14ac:dyDescent="0.35">
      <c r="A1057" t="s">
        <v>1069</v>
      </c>
      <c r="B1057" t="s">
        <v>4288</v>
      </c>
      <c r="C1057" t="s">
        <v>2261</v>
      </c>
      <c r="D1057" s="3" t="s">
        <v>2403</v>
      </c>
      <c r="E1057">
        <v>4</v>
      </c>
      <c r="F1057">
        <v>274.82</v>
      </c>
      <c r="G1057" t="s">
        <v>2817</v>
      </c>
      <c r="H1057" s="3" t="s">
        <v>3065</v>
      </c>
      <c r="I1057" s="3" t="s">
        <v>3073</v>
      </c>
      <c r="J1057" t="s">
        <v>4130</v>
      </c>
      <c r="K1057">
        <v>9</v>
      </c>
      <c r="L1057" t="s">
        <v>4277</v>
      </c>
      <c r="M1057" s="3" t="s">
        <v>4280</v>
      </c>
      <c r="N1057">
        <v>1099.28</v>
      </c>
    </row>
    <row r="1058" spans="1:14" x14ac:dyDescent="0.35">
      <c r="A1058" t="s">
        <v>1070</v>
      </c>
      <c r="B1058" t="s">
        <v>4564</v>
      </c>
      <c r="C1058" t="s">
        <v>2262</v>
      </c>
      <c r="D1058" s="3" t="s">
        <v>2404</v>
      </c>
      <c r="E1058">
        <v>2</v>
      </c>
      <c r="F1058">
        <v>486.35</v>
      </c>
      <c r="G1058" t="s">
        <v>2566</v>
      </c>
      <c r="H1058" s="3" t="s">
        <v>3066</v>
      </c>
      <c r="I1058" s="3" t="s">
        <v>3074</v>
      </c>
      <c r="J1058" t="s">
        <v>4131</v>
      </c>
      <c r="K1058">
        <v>6</v>
      </c>
      <c r="L1058" t="s">
        <v>4275</v>
      </c>
      <c r="M1058" s="3" t="s">
        <v>4279</v>
      </c>
      <c r="N1058">
        <v>972.7</v>
      </c>
    </row>
    <row r="1059" spans="1:14" x14ac:dyDescent="0.35">
      <c r="A1059" t="s">
        <v>1071</v>
      </c>
      <c r="B1059" t="s">
        <v>4918</v>
      </c>
      <c r="C1059" t="s">
        <v>2263</v>
      </c>
      <c r="D1059" s="3" t="s">
        <v>2408</v>
      </c>
      <c r="E1059">
        <v>3</v>
      </c>
      <c r="F1059">
        <v>428.88</v>
      </c>
      <c r="G1059" t="s">
        <v>2563</v>
      </c>
      <c r="H1059" s="3" t="s">
        <v>3065</v>
      </c>
      <c r="I1059" s="3" t="s">
        <v>3070</v>
      </c>
      <c r="J1059" t="s">
        <v>4132</v>
      </c>
      <c r="K1059">
        <v>3</v>
      </c>
      <c r="L1059" t="s">
        <v>4277</v>
      </c>
      <c r="M1059" s="3" t="s">
        <v>4281</v>
      </c>
      <c r="N1059">
        <v>1286.6400000000001</v>
      </c>
    </row>
    <row r="1060" spans="1:14" x14ac:dyDescent="0.35">
      <c r="A1060" t="s">
        <v>1072</v>
      </c>
      <c r="B1060" t="s">
        <v>4386</v>
      </c>
      <c r="C1060" t="s">
        <v>2264</v>
      </c>
      <c r="D1060" s="3" t="s">
        <v>2409</v>
      </c>
      <c r="E1060">
        <v>2</v>
      </c>
      <c r="F1060">
        <v>412.14</v>
      </c>
      <c r="G1060" t="s">
        <v>2640</v>
      </c>
      <c r="H1060" s="3" t="s">
        <v>3067</v>
      </c>
      <c r="I1060" s="3" t="s">
        <v>3072</v>
      </c>
      <c r="J1060" t="s">
        <v>4133</v>
      </c>
      <c r="K1060">
        <v>2</v>
      </c>
      <c r="L1060" t="s">
        <v>4276</v>
      </c>
      <c r="M1060" s="3" t="s">
        <v>4278</v>
      </c>
      <c r="N1060">
        <v>824.28</v>
      </c>
    </row>
    <row r="1061" spans="1:14" x14ac:dyDescent="0.35">
      <c r="A1061" t="s">
        <v>1073</v>
      </c>
      <c r="B1061" t="s">
        <v>4775</v>
      </c>
      <c r="C1061" t="s">
        <v>2265</v>
      </c>
      <c r="D1061" s="3" t="s">
        <v>2409</v>
      </c>
      <c r="E1061">
        <v>1</v>
      </c>
      <c r="F1061">
        <v>265.64</v>
      </c>
      <c r="G1061" t="s">
        <v>3019</v>
      </c>
      <c r="H1061" s="3" t="s">
        <v>3067</v>
      </c>
      <c r="I1061" s="3" t="s">
        <v>3072</v>
      </c>
      <c r="J1061" t="s">
        <v>4134</v>
      </c>
      <c r="K1061">
        <v>3</v>
      </c>
      <c r="L1061" t="s">
        <v>4277</v>
      </c>
      <c r="M1061" s="3" t="s">
        <v>4278</v>
      </c>
      <c r="N1061">
        <v>265.64</v>
      </c>
    </row>
    <row r="1062" spans="1:14" x14ac:dyDescent="0.35">
      <c r="A1062" t="s">
        <v>1074</v>
      </c>
      <c r="B1062" t="s">
        <v>4919</v>
      </c>
      <c r="C1062" t="s">
        <v>2266</v>
      </c>
      <c r="D1062" s="3" t="s">
        <v>2405</v>
      </c>
      <c r="E1062">
        <v>2</v>
      </c>
      <c r="F1062">
        <v>273.43</v>
      </c>
      <c r="G1062" t="s">
        <v>2702</v>
      </c>
      <c r="H1062" s="3" t="s">
        <v>3069</v>
      </c>
      <c r="I1062" s="3" t="s">
        <v>3070</v>
      </c>
      <c r="J1062" t="s">
        <v>4135</v>
      </c>
      <c r="K1062">
        <v>7</v>
      </c>
      <c r="L1062" t="s">
        <v>4277</v>
      </c>
      <c r="M1062" s="3" t="s">
        <v>4279</v>
      </c>
      <c r="N1062">
        <v>546.86</v>
      </c>
    </row>
    <row r="1063" spans="1:14" x14ac:dyDescent="0.35">
      <c r="A1063" t="s">
        <v>1075</v>
      </c>
      <c r="B1063" t="s">
        <v>4920</v>
      </c>
      <c r="C1063" t="s">
        <v>2267</v>
      </c>
      <c r="D1063" s="3" t="s">
        <v>2408</v>
      </c>
      <c r="E1063">
        <v>5</v>
      </c>
      <c r="F1063">
        <v>131.69999999999999</v>
      </c>
      <c r="G1063" t="s">
        <v>2442</v>
      </c>
      <c r="H1063" s="3" t="s">
        <v>3069</v>
      </c>
      <c r="I1063" s="3" t="s">
        <v>3070</v>
      </c>
      <c r="J1063" t="s">
        <v>4136</v>
      </c>
      <c r="K1063">
        <v>8</v>
      </c>
      <c r="L1063" t="s">
        <v>4276</v>
      </c>
      <c r="M1063" s="3" t="s">
        <v>4282</v>
      </c>
      <c r="N1063">
        <v>658.5</v>
      </c>
    </row>
    <row r="1064" spans="1:14" x14ac:dyDescent="0.35">
      <c r="A1064" t="s">
        <v>1076</v>
      </c>
      <c r="B1064" t="s">
        <v>4705</v>
      </c>
      <c r="C1064" t="s">
        <v>2268</v>
      </c>
      <c r="D1064" s="3" t="s">
        <v>2406</v>
      </c>
      <c r="E1064">
        <v>5</v>
      </c>
      <c r="F1064">
        <v>85.52</v>
      </c>
      <c r="G1064" t="s">
        <v>2676</v>
      </c>
      <c r="H1064" s="3" t="s">
        <v>3068</v>
      </c>
      <c r="I1064" s="3" t="s">
        <v>3071</v>
      </c>
      <c r="J1064" t="s">
        <v>4137</v>
      </c>
      <c r="K1064">
        <v>5</v>
      </c>
      <c r="L1064" t="s">
        <v>4292</v>
      </c>
      <c r="M1064" s="3" t="s">
        <v>4281</v>
      </c>
      <c r="N1064">
        <v>427.6</v>
      </c>
    </row>
    <row r="1065" spans="1:14" x14ac:dyDescent="0.35">
      <c r="A1065" t="s">
        <v>1077</v>
      </c>
      <c r="B1065" t="s">
        <v>4367</v>
      </c>
      <c r="C1065" t="s">
        <v>2269</v>
      </c>
      <c r="D1065" s="3" t="s">
        <v>2409</v>
      </c>
      <c r="E1065">
        <v>2</v>
      </c>
      <c r="F1065">
        <v>320.68</v>
      </c>
      <c r="G1065" t="s">
        <v>2564</v>
      </c>
      <c r="H1065" s="3" t="s">
        <v>3067</v>
      </c>
      <c r="I1065" s="3" t="s">
        <v>3070</v>
      </c>
      <c r="J1065" t="s">
        <v>4138</v>
      </c>
      <c r="K1065">
        <v>5</v>
      </c>
      <c r="L1065" t="s">
        <v>4276</v>
      </c>
      <c r="M1065" s="3" t="s">
        <v>4279</v>
      </c>
      <c r="N1065">
        <v>641.36</v>
      </c>
    </row>
    <row r="1066" spans="1:14" x14ac:dyDescent="0.35">
      <c r="A1066" t="s">
        <v>1078</v>
      </c>
      <c r="B1066" t="s">
        <v>4921</v>
      </c>
      <c r="C1066" t="s">
        <v>2270</v>
      </c>
      <c r="D1066" s="3" t="s">
        <v>2408</v>
      </c>
      <c r="E1066">
        <v>4</v>
      </c>
      <c r="F1066">
        <v>198.81</v>
      </c>
      <c r="G1066" t="s">
        <v>2646</v>
      </c>
      <c r="H1066" s="3" t="s">
        <v>3069</v>
      </c>
      <c r="I1066" s="3" t="s">
        <v>3072</v>
      </c>
      <c r="J1066" t="s">
        <v>4139</v>
      </c>
      <c r="K1066">
        <v>9</v>
      </c>
      <c r="L1066" t="s">
        <v>4276</v>
      </c>
      <c r="M1066" s="3" t="s">
        <v>4279</v>
      </c>
      <c r="N1066">
        <v>795.24</v>
      </c>
    </row>
    <row r="1067" spans="1:14" x14ac:dyDescent="0.35">
      <c r="A1067" t="s">
        <v>1079</v>
      </c>
      <c r="B1067" t="s">
        <v>4922</v>
      </c>
      <c r="C1067" t="s">
        <v>2271</v>
      </c>
      <c r="D1067" s="3" t="s">
        <v>2407</v>
      </c>
      <c r="E1067">
        <v>5</v>
      </c>
      <c r="F1067">
        <v>666.8</v>
      </c>
      <c r="G1067" t="s">
        <v>2746</v>
      </c>
      <c r="H1067" s="3" t="s">
        <v>3065</v>
      </c>
      <c r="I1067" s="3" t="s">
        <v>3073</v>
      </c>
      <c r="J1067" t="s">
        <v>4140</v>
      </c>
      <c r="K1067">
        <v>7</v>
      </c>
      <c r="L1067" t="s">
        <v>4275</v>
      </c>
      <c r="M1067" s="3" t="s">
        <v>4279</v>
      </c>
      <c r="N1067">
        <v>3334</v>
      </c>
    </row>
    <row r="1068" spans="1:14" x14ac:dyDescent="0.35">
      <c r="A1068" t="s">
        <v>1080</v>
      </c>
      <c r="B1068" t="s">
        <v>4923</v>
      </c>
      <c r="C1068" t="s">
        <v>2272</v>
      </c>
      <c r="D1068" s="3" t="s">
        <v>2409</v>
      </c>
      <c r="E1068">
        <v>1</v>
      </c>
      <c r="F1068">
        <v>355.09</v>
      </c>
      <c r="G1068" t="s">
        <v>2878</v>
      </c>
      <c r="H1068" s="3" t="s">
        <v>3065</v>
      </c>
      <c r="I1068" s="3" t="s">
        <v>3071</v>
      </c>
      <c r="J1068" t="s">
        <v>4141</v>
      </c>
      <c r="K1068">
        <v>5</v>
      </c>
      <c r="L1068" t="s">
        <v>4275</v>
      </c>
      <c r="M1068" s="3" t="s">
        <v>4278</v>
      </c>
      <c r="N1068">
        <v>355.09</v>
      </c>
    </row>
    <row r="1069" spans="1:14" x14ac:dyDescent="0.35">
      <c r="A1069" t="s">
        <v>1081</v>
      </c>
      <c r="B1069" t="s">
        <v>4924</v>
      </c>
      <c r="C1069" t="s">
        <v>2273</v>
      </c>
      <c r="D1069" s="3" t="s">
        <v>2404</v>
      </c>
      <c r="E1069">
        <v>2</v>
      </c>
      <c r="F1069">
        <v>316.2</v>
      </c>
      <c r="G1069" t="s">
        <v>2475</v>
      </c>
      <c r="H1069" s="3" t="s">
        <v>3066</v>
      </c>
      <c r="I1069" s="3" t="s">
        <v>3072</v>
      </c>
      <c r="J1069" t="s">
        <v>4142</v>
      </c>
      <c r="K1069">
        <v>2</v>
      </c>
      <c r="L1069" t="s">
        <v>4292</v>
      </c>
      <c r="M1069" s="3" t="s">
        <v>4278</v>
      </c>
      <c r="N1069">
        <v>632.4</v>
      </c>
    </row>
    <row r="1070" spans="1:14" x14ac:dyDescent="0.35">
      <c r="A1070" t="s">
        <v>1082</v>
      </c>
      <c r="B1070" t="s">
        <v>4524</v>
      </c>
      <c r="C1070" t="s">
        <v>2274</v>
      </c>
      <c r="D1070" s="3" t="s">
        <v>2408</v>
      </c>
      <c r="E1070">
        <v>1</v>
      </c>
      <c r="F1070">
        <v>133.38999999999999</v>
      </c>
      <c r="G1070" t="s">
        <v>3020</v>
      </c>
      <c r="H1070" s="3" t="s">
        <v>3065</v>
      </c>
      <c r="I1070" s="3" t="s">
        <v>3070</v>
      </c>
      <c r="J1070" t="s">
        <v>4143</v>
      </c>
      <c r="K1070">
        <v>2</v>
      </c>
      <c r="L1070" t="s">
        <v>4275</v>
      </c>
      <c r="M1070" s="3" t="s">
        <v>4279</v>
      </c>
      <c r="N1070">
        <v>133.38999999999999</v>
      </c>
    </row>
    <row r="1071" spans="1:14" x14ac:dyDescent="0.35">
      <c r="A1071" t="s">
        <v>1083</v>
      </c>
      <c r="B1071" t="s">
        <v>4925</v>
      </c>
      <c r="C1071" t="s">
        <v>2275</v>
      </c>
      <c r="D1071" s="3" t="s">
        <v>2403</v>
      </c>
      <c r="E1071">
        <v>1</v>
      </c>
      <c r="F1071">
        <v>454.23</v>
      </c>
      <c r="G1071" t="s">
        <v>2617</v>
      </c>
      <c r="H1071" s="3" t="s">
        <v>3068</v>
      </c>
      <c r="I1071" s="3" t="s">
        <v>3072</v>
      </c>
      <c r="J1071" t="s">
        <v>4144</v>
      </c>
      <c r="K1071">
        <v>3</v>
      </c>
      <c r="L1071" t="s">
        <v>4292</v>
      </c>
      <c r="M1071" s="3" t="s">
        <v>4281</v>
      </c>
      <c r="N1071">
        <v>454.23</v>
      </c>
    </row>
    <row r="1072" spans="1:14" x14ac:dyDescent="0.35">
      <c r="A1072" t="s">
        <v>1084</v>
      </c>
      <c r="B1072" t="s">
        <v>4889</v>
      </c>
      <c r="C1072" t="s">
        <v>2276</v>
      </c>
      <c r="D1072" s="3" t="s">
        <v>2409</v>
      </c>
      <c r="E1072">
        <v>4</v>
      </c>
      <c r="F1072">
        <v>491.29</v>
      </c>
      <c r="G1072" t="s">
        <v>2485</v>
      </c>
      <c r="H1072" s="3" t="s">
        <v>3065</v>
      </c>
      <c r="I1072" s="3" t="s">
        <v>3074</v>
      </c>
      <c r="J1072" t="s">
        <v>4145</v>
      </c>
      <c r="K1072">
        <v>6</v>
      </c>
      <c r="L1072" t="s">
        <v>4292</v>
      </c>
      <c r="M1072" s="3" t="s">
        <v>4280</v>
      </c>
      <c r="N1072">
        <v>1965.16</v>
      </c>
    </row>
    <row r="1073" spans="1:14" x14ac:dyDescent="0.35">
      <c r="A1073" t="s">
        <v>1085</v>
      </c>
      <c r="B1073" t="s">
        <v>4337</v>
      </c>
      <c r="C1073" t="s">
        <v>2277</v>
      </c>
      <c r="D1073" s="3" t="s">
        <v>2404</v>
      </c>
      <c r="E1073">
        <v>2</v>
      </c>
      <c r="F1073">
        <v>255.14</v>
      </c>
      <c r="G1073" t="s">
        <v>2717</v>
      </c>
      <c r="H1073" s="3" t="s">
        <v>3069</v>
      </c>
      <c r="I1073" s="3" t="s">
        <v>3070</v>
      </c>
      <c r="J1073" t="s">
        <v>4146</v>
      </c>
      <c r="K1073">
        <v>2</v>
      </c>
      <c r="L1073" t="s">
        <v>4292</v>
      </c>
      <c r="M1073" s="3" t="s">
        <v>4282</v>
      </c>
      <c r="N1073">
        <v>510.28</v>
      </c>
    </row>
    <row r="1074" spans="1:14" x14ac:dyDescent="0.35">
      <c r="A1074" t="s">
        <v>1086</v>
      </c>
      <c r="B1074" t="s">
        <v>4581</v>
      </c>
      <c r="C1074" t="s">
        <v>2278</v>
      </c>
      <c r="D1074" s="3" t="s">
        <v>2403</v>
      </c>
      <c r="E1074">
        <v>1</v>
      </c>
      <c r="F1074">
        <v>392.61</v>
      </c>
      <c r="G1074" t="s">
        <v>2635</v>
      </c>
      <c r="H1074" s="3" t="s">
        <v>3068</v>
      </c>
      <c r="I1074" s="3" t="s">
        <v>3071</v>
      </c>
      <c r="J1074" t="s">
        <v>4147</v>
      </c>
      <c r="K1074">
        <v>4</v>
      </c>
      <c r="L1074" t="s">
        <v>4275</v>
      </c>
      <c r="M1074" s="3" t="s">
        <v>4279</v>
      </c>
      <c r="N1074">
        <v>392.61</v>
      </c>
    </row>
    <row r="1075" spans="1:14" x14ac:dyDescent="0.35">
      <c r="A1075" t="s">
        <v>1087</v>
      </c>
      <c r="B1075" t="s">
        <v>4926</v>
      </c>
      <c r="C1075" t="s">
        <v>2279</v>
      </c>
      <c r="D1075" s="3" t="s">
        <v>2405</v>
      </c>
      <c r="E1075">
        <v>4</v>
      </c>
      <c r="F1075">
        <v>362.06</v>
      </c>
      <c r="G1075" t="s">
        <v>2631</v>
      </c>
      <c r="H1075" s="3" t="s">
        <v>3065</v>
      </c>
      <c r="I1075" s="3" t="s">
        <v>3072</v>
      </c>
      <c r="J1075" t="s">
        <v>4148</v>
      </c>
      <c r="K1075">
        <v>4</v>
      </c>
      <c r="L1075" t="s">
        <v>4292</v>
      </c>
      <c r="M1075" s="3" t="s">
        <v>4281</v>
      </c>
      <c r="N1075">
        <v>1448.24</v>
      </c>
    </row>
    <row r="1076" spans="1:14" x14ac:dyDescent="0.35">
      <c r="A1076" t="s">
        <v>1088</v>
      </c>
      <c r="B1076" t="s">
        <v>4735</v>
      </c>
      <c r="C1076" t="s">
        <v>2280</v>
      </c>
      <c r="D1076" s="3" t="s">
        <v>2404</v>
      </c>
      <c r="E1076">
        <v>1</v>
      </c>
      <c r="F1076">
        <v>222.73</v>
      </c>
      <c r="G1076" t="s">
        <v>3021</v>
      </c>
      <c r="H1076" s="3" t="s">
        <v>3066</v>
      </c>
      <c r="I1076" s="3" t="s">
        <v>3072</v>
      </c>
      <c r="J1076" t="s">
        <v>4149</v>
      </c>
      <c r="K1076">
        <v>4</v>
      </c>
      <c r="L1076" t="s">
        <v>4292</v>
      </c>
      <c r="M1076" s="3" t="s">
        <v>4282</v>
      </c>
      <c r="N1076">
        <v>222.73</v>
      </c>
    </row>
    <row r="1077" spans="1:14" x14ac:dyDescent="0.35">
      <c r="A1077" t="s">
        <v>1089</v>
      </c>
      <c r="B1077" t="s">
        <v>4453</v>
      </c>
      <c r="C1077" t="s">
        <v>2281</v>
      </c>
      <c r="D1077" s="3" t="s">
        <v>2403</v>
      </c>
      <c r="E1077">
        <v>2</v>
      </c>
      <c r="F1077">
        <v>552.63</v>
      </c>
      <c r="G1077" t="s">
        <v>2591</v>
      </c>
      <c r="H1077" s="3" t="s">
        <v>3065</v>
      </c>
      <c r="I1077" s="3" t="s">
        <v>3073</v>
      </c>
      <c r="J1077" t="s">
        <v>4150</v>
      </c>
      <c r="K1077">
        <v>7</v>
      </c>
      <c r="L1077" t="s">
        <v>4277</v>
      </c>
      <c r="M1077" s="3" t="s">
        <v>4278</v>
      </c>
      <c r="N1077">
        <v>1105.26</v>
      </c>
    </row>
    <row r="1078" spans="1:14" x14ac:dyDescent="0.35">
      <c r="A1078" t="s">
        <v>1090</v>
      </c>
      <c r="B1078" t="s">
        <v>4304</v>
      </c>
      <c r="C1078" t="s">
        <v>2282</v>
      </c>
      <c r="D1078" s="3" t="s">
        <v>2408</v>
      </c>
      <c r="E1078">
        <v>4</v>
      </c>
      <c r="F1078">
        <v>686.61</v>
      </c>
      <c r="G1078" t="s">
        <v>3005</v>
      </c>
      <c r="H1078" s="3" t="s">
        <v>3069</v>
      </c>
      <c r="I1078" s="3" t="s">
        <v>3070</v>
      </c>
      <c r="J1078" t="s">
        <v>4151</v>
      </c>
      <c r="K1078">
        <v>6</v>
      </c>
      <c r="L1078" t="s">
        <v>4292</v>
      </c>
      <c r="M1078" s="3" t="s">
        <v>4279</v>
      </c>
      <c r="N1078">
        <v>2746.44</v>
      </c>
    </row>
    <row r="1079" spans="1:14" x14ac:dyDescent="0.35">
      <c r="A1079" t="s">
        <v>1091</v>
      </c>
      <c r="B1079" t="s">
        <v>4740</v>
      </c>
      <c r="C1079" t="s">
        <v>2283</v>
      </c>
      <c r="D1079" s="3" t="s">
        <v>2407</v>
      </c>
      <c r="E1079">
        <v>3</v>
      </c>
      <c r="F1079">
        <v>305.16000000000003</v>
      </c>
      <c r="G1079" t="s">
        <v>2517</v>
      </c>
      <c r="H1079" s="3" t="s">
        <v>3067</v>
      </c>
      <c r="I1079" s="3" t="s">
        <v>3071</v>
      </c>
      <c r="J1079" t="s">
        <v>4152</v>
      </c>
      <c r="K1079">
        <v>8</v>
      </c>
      <c r="L1079" t="s">
        <v>4275</v>
      </c>
      <c r="M1079" s="3" t="s">
        <v>4279</v>
      </c>
      <c r="N1079">
        <v>915.48</v>
      </c>
    </row>
    <row r="1080" spans="1:14" x14ac:dyDescent="0.35">
      <c r="A1080" t="s">
        <v>1092</v>
      </c>
      <c r="B1080" t="s">
        <v>4452</v>
      </c>
      <c r="C1080" t="s">
        <v>2284</v>
      </c>
      <c r="D1080" s="3" t="s">
        <v>2409</v>
      </c>
      <c r="E1080">
        <v>1</v>
      </c>
      <c r="F1080">
        <v>41.09</v>
      </c>
      <c r="G1080" t="s">
        <v>2437</v>
      </c>
      <c r="H1080" s="3" t="s">
        <v>3066</v>
      </c>
      <c r="I1080" s="3" t="s">
        <v>3072</v>
      </c>
      <c r="J1080" t="s">
        <v>4153</v>
      </c>
      <c r="K1080">
        <v>4</v>
      </c>
      <c r="L1080" t="s">
        <v>4277</v>
      </c>
      <c r="M1080" s="3" t="s">
        <v>4280</v>
      </c>
      <c r="N1080">
        <v>41.09</v>
      </c>
    </row>
    <row r="1081" spans="1:14" x14ac:dyDescent="0.35">
      <c r="A1081" t="s">
        <v>1093</v>
      </c>
      <c r="B1081" t="s">
        <v>4927</v>
      </c>
      <c r="C1081" t="s">
        <v>2285</v>
      </c>
      <c r="D1081" s="3" t="s">
        <v>2404</v>
      </c>
      <c r="E1081">
        <v>5</v>
      </c>
      <c r="F1081">
        <v>634</v>
      </c>
      <c r="G1081" t="s">
        <v>2980</v>
      </c>
      <c r="H1081" s="3" t="s">
        <v>3068</v>
      </c>
      <c r="I1081" s="3" t="s">
        <v>3073</v>
      </c>
      <c r="J1081" t="s">
        <v>4154</v>
      </c>
      <c r="K1081">
        <v>8</v>
      </c>
      <c r="L1081" t="s">
        <v>4292</v>
      </c>
      <c r="M1081" s="3" t="s">
        <v>4280</v>
      </c>
      <c r="N1081">
        <v>3170</v>
      </c>
    </row>
    <row r="1082" spans="1:14" x14ac:dyDescent="0.35">
      <c r="A1082" t="s">
        <v>1094</v>
      </c>
      <c r="B1082" t="s">
        <v>4609</v>
      </c>
      <c r="C1082" t="s">
        <v>2286</v>
      </c>
      <c r="D1082" s="3" t="s">
        <v>2408</v>
      </c>
      <c r="E1082">
        <v>5</v>
      </c>
      <c r="F1082">
        <v>464.74</v>
      </c>
      <c r="G1082" t="s">
        <v>3022</v>
      </c>
      <c r="H1082" s="3" t="s">
        <v>3068</v>
      </c>
      <c r="I1082" s="3" t="s">
        <v>3073</v>
      </c>
      <c r="J1082" t="s">
        <v>4155</v>
      </c>
      <c r="K1082">
        <v>7</v>
      </c>
      <c r="L1082" t="s">
        <v>4292</v>
      </c>
      <c r="M1082" s="3" t="s">
        <v>4279</v>
      </c>
      <c r="N1082">
        <v>2323.6999999999998</v>
      </c>
    </row>
    <row r="1083" spans="1:14" x14ac:dyDescent="0.35">
      <c r="A1083" t="s">
        <v>1095</v>
      </c>
      <c r="B1083" t="s">
        <v>4737</v>
      </c>
      <c r="C1083" t="s">
        <v>2287</v>
      </c>
      <c r="D1083" s="3" t="s">
        <v>2403</v>
      </c>
      <c r="E1083">
        <v>4</v>
      </c>
      <c r="F1083">
        <v>425.6</v>
      </c>
      <c r="G1083" t="s">
        <v>2704</v>
      </c>
      <c r="H1083" s="3" t="s">
        <v>3067</v>
      </c>
      <c r="I1083" s="3" t="s">
        <v>3074</v>
      </c>
      <c r="J1083" t="s">
        <v>4156</v>
      </c>
      <c r="K1083">
        <v>5</v>
      </c>
      <c r="L1083" t="s">
        <v>4276</v>
      </c>
      <c r="M1083" s="3" t="s">
        <v>4282</v>
      </c>
      <c r="N1083">
        <v>1702.4</v>
      </c>
    </row>
    <row r="1084" spans="1:14" x14ac:dyDescent="0.35">
      <c r="A1084" t="s">
        <v>1096</v>
      </c>
      <c r="B1084" t="s">
        <v>4710</v>
      </c>
      <c r="C1084" t="s">
        <v>2288</v>
      </c>
      <c r="D1084" s="3" t="s">
        <v>2406</v>
      </c>
      <c r="E1084">
        <v>3</v>
      </c>
      <c r="F1084">
        <v>573.22</v>
      </c>
      <c r="G1084" t="s">
        <v>3011</v>
      </c>
      <c r="H1084" s="3" t="s">
        <v>3065</v>
      </c>
      <c r="I1084" s="3" t="s">
        <v>3074</v>
      </c>
      <c r="J1084" t="s">
        <v>4157</v>
      </c>
      <c r="K1084">
        <v>5</v>
      </c>
      <c r="L1084" t="s">
        <v>4275</v>
      </c>
      <c r="M1084" s="3" t="s">
        <v>4280</v>
      </c>
      <c r="N1084">
        <v>1719.66</v>
      </c>
    </row>
    <row r="1085" spans="1:14" x14ac:dyDescent="0.35">
      <c r="A1085" t="s">
        <v>1097</v>
      </c>
      <c r="B1085" t="s">
        <v>4928</v>
      </c>
      <c r="C1085" t="s">
        <v>2289</v>
      </c>
      <c r="D1085" s="3" t="s">
        <v>2406</v>
      </c>
      <c r="E1085">
        <v>1</v>
      </c>
      <c r="F1085">
        <v>123.28</v>
      </c>
      <c r="G1085" t="s">
        <v>2440</v>
      </c>
      <c r="H1085" s="3" t="s">
        <v>3067</v>
      </c>
      <c r="I1085" s="3" t="s">
        <v>3073</v>
      </c>
      <c r="J1085" t="s">
        <v>4158</v>
      </c>
      <c r="K1085">
        <v>3</v>
      </c>
      <c r="L1085" t="s">
        <v>4275</v>
      </c>
      <c r="M1085" s="3" t="s">
        <v>4280</v>
      </c>
      <c r="N1085">
        <v>123.28</v>
      </c>
    </row>
    <row r="1086" spans="1:14" x14ac:dyDescent="0.35">
      <c r="A1086" t="s">
        <v>1098</v>
      </c>
      <c r="B1086" t="s">
        <v>4408</v>
      </c>
      <c r="C1086" t="s">
        <v>2290</v>
      </c>
      <c r="D1086" s="3" t="s">
        <v>2404</v>
      </c>
      <c r="E1086">
        <v>1</v>
      </c>
      <c r="F1086">
        <v>70.819999999999993</v>
      </c>
      <c r="G1086" t="s">
        <v>2445</v>
      </c>
      <c r="H1086" s="3" t="s">
        <v>3068</v>
      </c>
      <c r="I1086" s="3" t="s">
        <v>3074</v>
      </c>
      <c r="J1086" t="s">
        <v>4159</v>
      </c>
      <c r="K1086">
        <v>1</v>
      </c>
      <c r="L1086" t="s">
        <v>4277</v>
      </c>
      <c r="M1086" s="3" t="s">
        <v>4278</v>
      </c>
      <c r="N1086">
        <v>70.819999999999993</v>
      </c>
    </row>
    <row r="1087" spans="1:14" x14ac:dyDescent="0.35">
      <c r="A1087" t="s">
        <v>1099</v>
      </c>
      <c r="B1087" t="s">
        <v>4338</v>
      </c>
      <c r="C1087" t="s">
        <v>2291</v>
      </c>
      <c r="D1087" s="3" t="s">
        <v>2407</v>
      </c>
      <c r="E1087">
        <v>2</v>
      </c>
      <c r="F1087">
        <v>646.69000000000005</v>
      </c>
      <c r="G1087" t="s">
        <v>2545</v>
      </c>
      <c r="H1087" s="3" t="s">
        <v>3065</v>
      </c>
      <c r="I1087" s="3" t="s">
        <v>3070</v>
      </c>
      <c r="J1087" t="s">
        <v>4160</v>
      </c>
      <c r="K1087">
        <v>7</v>
      </c>
      <c r="L1087" t="s">
        <v>4277</v>
      </c>
      <c r="M1087" s="3" t="s">
        <v>4278</v>
      </c>
      <c r="N1087">
        <v>1293.3800000000001</v>
      </c>
    </row>
    <row r="1088" spans="1:14" x14ac:dyDescent="0.35">
      <c r="A1088" t="s">
        <v>1100</v>
      </c>
      <c r="B1088" t="s">
        <v>4759</v>
      </c>
      <c r="C1088" t="s">
        <v>2292</v>
      </c>
      <c r="D1088" s="3" t="s">
        <v>2405</v>
      </c>
      <c r="E1088">
        <v>2</v>
      </c>
      <c r="F1088">
        <v>513.41999999999996</v>
      </c>
      <c r="G1088" t="s">
        <v>3023</v>
      </c>
      <c r="H1088" s="3" t="s">
        <v>3066</v>
      </c>
      <c r="I1088" s="3" t="s">
        <v>3074</v>
      </c>
      <c r="J1088" t="s">
        <v>4161</v>
      </c>
      <c r="K1088">
        <v>5</v>
      </c>
      <c r="L1088" t="s">
        <v>4277</v>
      </c>
      <c r="M1088" s="3" t="s">
        <v>4278</v>
      </c>
      <c r="N1088">
        <v>1026.8399999999999</v>
      </c>
    </row>
    <row r="1089" spans="1:14" x14ac:dyDescent="0.35">
      <c r="A1089" t="s">
        <v>1101</v>
      </c>
      <c r="B1089" t="s">
        <v>4695</v>
      </c>
      <c r="C1089" t="s">
        <v>2293</v>
      </c>
      <c r="D1089" s="3" t="s">
        <v>2408</v>
      </c>
      <c r="E1089">
        <v>4</v>
      </c>
      <c r="F1089">
        <v>693.07</v>
      </c>
      <c r="G1089" t="s">
        <v>3024</v>
      </c>
      <c r="H1089" s="3" t="s">
        <v>3066</v>
      </c>
      <c r="I1089" s="3" t="s">
        <v>3070</v>
      </c>
      <c r="J1089" t="s">
        <v>4162</v>
      </c>
      <c r="K1089">
        <v>8</v>
      </c>
      <c r="L1089" t="s">
        <v>4275</v>
      </c>
      <c r="M1089" s="3" t="s">
        <v>4278</v>
      </c>
      <c r="N1089">
        <v>2772.28</v>
      </c>
    </row>
    <row r="1090" spans="1:14" x14ac:dyDescent="0.35">
      <c r="A1090" t="s">
        <v>1102</v>
      </c>
      <c r="B1090" t="s">
        <v>4399</v>
      </c>
      <c r="C1090" t="s">
        <v>2294</v>
      </c>
      <c r="D1090" s="3" t="s">
        <v>2409</v>
      </c>
      <c r="E1090">
        <v>3</v>
      </c>
      <c r="F1090">
        <v>491.43</v>
      </c>
      <c r="G1090" t="s">
        <v>3025</v>
      </c>
      <c r="H1090" s="3" t="s">
        <v>3068</v>
      </c>
      <c r="I1090" s="3" t="s">
        <v>3070</v>
      </c>
      <c r="J1090" t="s">
        <v>4163</v>
      </c>
      <c r="K1090">
        <v>6</v>
      </c>
      <c r="L1090" t="s">
        <v>4277</v>
      </c>
      <c r="M1090" s="3" t="s">
        <v>4278</v>
      </c>
      <c r="N1090">
        <v>1474.29</v>
      </c>
    </row>
    <row r="1091" spans="1:14" x14ac:dyDescent="0.35">
      <c r="A1091" t="s">
        <v>1103</v>
      </c>
      <c r="B1091" t="s">
        <v>4459</v>
      </c>
      <c r="C1091" t="s">
        <v>2295</v>
      </c>
      <c r="D1091" s="3" t="s">
        <v>2405</v>
      </c>
      <c r="E1091">
        <v>2</v>
      </c>
      <c r="F1091">
        <v>599.74</v>
      </c>
      <c r="G1091" t="s">
        <v>2473</v>
      </c>
      <c r="H1091" s="3" t="s">
        <v>3068</v>
      </c>
      <c r="I1091" s="3" t="s">
        <v>3070</v>
      </c>
      <c r="J1091" t="s">
        <v>4164</v>
      </c>
      <c r="K1091">
        <v>2</v>
      </c>
      <c r="L1091" t="s">
        <v>4292</v>
      </c>
      <c r="M1091" s="3" t="s">
        <v>4278</v>
      </c>
      <c r="N1091">
        <v>1199.48</v>
      </c>
    </row>
    <row r="1092" spans="1:14" x14ac:dyDescent="0.35">
      <c r="A1092" t="s">
        <v>1104</v>
      </c>
      <c r="B1092" t="s">
        <v>4925</v>
      </c>
      <c r="C1092" t="s">
        <v>2296</v>
      </c>
      <c r="D1092" s="3" t="s">
        <v>2403</v>
      </c>
      <c r="E1092">
        <v>2</v>
      </c>
      <c r="F1092">
        <v>650.25</v>
      </c>
      <c r="G1092" t="s">
        <v>2441</v>
      </c>
      <c r="H1092" s="3" t="s">
        <v>3068</v>
      </c>
      <c r="I1092" s="3" t="s">
        <v>3072</v>
      </c>
      <c r="J1092" t="s">
        <v>4165</v>
      </c>
      <c r="K1092">
        <v>6</v>
      </c>
      <c r="L1092" t="s">
        <v>4292</v>
      </c>
      <c r="M1092" s="3" t="s">
        <v>4278</v>
      </c>
      <c r="N1092">
        <v>1300.5</v>
      </c>
    </row>
    <row r="1093" spans="1:14" x14ac:dyDescent="0.35">
      <c r="A1093" t="s">
        <v>1105</v>
      </c>
      <c r="B1093" t="s">
        <v>4476</v>
      </c>
      <c r="C1093" t="s">
        <v>2297</v>
      </c>
      <c r="D1093" s="3" t="s">
        <v>2408</v>
      </c>
      <c r="E1093">
        <v>3</v>
      </c>
      <c r="F1093">
        <v>209.48</v>
      </c>
      <c r="G1093" t="s">
        <v>2739</v>
      </c>
      <c r="H1093" s="3" t="s">
        <v>3065</v>
      </c>
      <c r="I1093" s="3" t="s">
        <v>3074</v>
      </c>
      <c r="J1093" t="s">
        <v>4166</v>
      </c>
      <c r="K1093">
        <v>4</v>
      </c>
      <c r="L1093" t="s">
        <v>4292</v>
      </c>
      <c r="M1093" s="3" t="s">
        <v>4280</v>
      </c>
      <c r="N1093">
        <v>628.44000000000005</v>
      </c>
    </row>
    <row r="1094" spans="1:14" x14ac:dyDescent="0.35">
      <c r="A1094" t="s">
        <v>1106</v>
      </c>
      <c r="B1094" t="s">
        <v>4815</v>
      </c>
      <c r="C1094" t="s">
        <v>2298</v>
      </c>
      <c r="D1094" s="3" t="s">
        <v>2408</v>
      </c>
      <c r="E1094">
        <v>5</v>
      </c>
      <c r="F1094">
        <v>209.2</v>
      </c>
      <c r="G1094" t="s">
        <v>2439</v>
      </c>
      <c r="H1094" s="3" t="s">
        <v>3065</v>
      </c>
      <c r="I1094" s="3" t="s">
        <v>3073</v>
      </c>
      <c r="J1094" t="s">
        <v>4167</v>
      </c>
      <c r="K1094">
        <v>6</v>
      </c>
      <c r="L1094" t="s">
        <v>4277</v>
      </c>
      <c r="M1094" s="3" t="s">
        <v>4280</v>
      </c>
      <c r="N1094">
        <v>1046</v>
      </c>
    </row>
    <row r="1095" spans="1:14" x14ac:dyDescent="0.35">
      <c r="A1095" t="s">
        <v>1107</v>
      </c>
      <c r="B1095" t="s">
        <v>4592</v>
      </c>
      <c r="C1095" t="s">
        <v>2299</v>
      </c>
      <c r="D1095" s="3" t="s">
        <v>2404</v>
      </c>
      <c r="E1095">
        <v>4</v>
      </c>
      <c r="F1095">
        <v>197.36</v>
      </c>
      <c r="G1095" t="s">
        <v>3026</v>
      </c>
      <c r="H1095" s="3" t="s">
        <v>3068</v>
      </c>
      <c r="I1095" s="3" t="s">
        <v>3072</v>
      </c>
      <c r="J1095" t="s">
        <v>4168</v>
      </c>
      <c r="K1095">
        <v>9</v>
      </c>
      <c r="L1095" t="s">
        <v>4276</v>
      </c>
      <c r="M1095" s="3" t="s">
        <v>4278</v>
      </c>
      <c r="N1095">
        <v>789.44</v>
      </c>
    </row>
    <row r="1096" spans="1:14" x14ac:dyDescent="0.35">
      <c r="A1096" t="s">
        <v>1108</v>
      </c>
      <c r="B1096" t="s">
        <v>4626</v>
      </c>
      <c r="C1096" t="s">
        <v>2300</v>
      </c>
      <c r="D1096" s="3" t="s">
        <v>2407</v>
      </c>
      <c r="E1096">
        <v>4</v>
      </c>
      <c r="F1096">
        <v>648.91</v>
      </c>
      <c r="G1096" t="s">
        <v>3027</v>
      </c>
      <c r="H1096" s="3" t="s">
        <v>3067</v>
      </c>
      <c r="I1096" s="3" t="s">
        <v>3070</v>
      </c>
      <c r="J1096" t="s">
        <v>4169</v>
      </c>
      <c r="K1096">
        <v>6</v>
      </c>
      <c r="L1096" t="s">
        <v>4275</v>
      </c>
      <c r="M1096" s="3" t="s">
        <v>4278</v>
      </c>
      <c r="N1096">
        <v>2595.64</v>
      </c>
    </row>
    <row r="1097" spans="1:14" x14ac:dyDescent="0.35">
      <c r="A1097" t="s">
        <v>1109</v>
      </c>
      <c r="B1097" t="s">
        <v>4518</v>
      </c>
      <c r="C1097" t="s">
        <v>2301</v>
      </c>
      <c r="D1097" s="3" t="s">
        <v>2404</v>
      </c>
      <c r="E1097">
        <v>2</v>
      </c>
      <c r="F1097">
        <v>441.54</v>
      </c>
      <c r="G1097" t="s">
        <v>3028</v>
      </c>
      <c r="H1097" s="3" t="s">
        <v>3066</v>
      </c>
      <c r="I1097" s="3" t="s">
        <v>3073</v>
      </c>
      <c r="J1097" t="s">
        <v>4170</v>
      </c>
      <c r="K1097">
        <v>2</v>
      </c>
      <c r="L1097" t="s">
        <v>4275</v>
      </c>
      <c r="M1097" s="3" t="s">
        <v>4280</v>
      </c>
      <c r="N1097">
        <v>883.08</v>
      </c>
    </row>
    <row r="1098" spans="1:14" x14ac:dyDescent="0.35">
      <c r="A1098" t="s">
        <v>1110</v>
      </c>
      <c r="B1098" t="s">
        <v>4404</v>
      </c>
      <c r="C1098" t="s">
        <v>2302</v>
      </c>
      <c r="D1098" s="3" t="s">
        <v>2405</v>
      </c>
      <c r="E1098">
        <v>2</v>
      </c>
      <c r="F1098">
        <v>464.92</v>
      </c>
      <c r="G1098" t="s">
        <v>3029</v>
      </c>
      <c r="H1098" s="3" t="s">
        <v>3065</v>
      </c>
      <c r="I1098" s="3" t="s">
        <v>3072</v>
      </c>
      <c r="J1098" t="s">
        <v>4171</v>
      </c>
      <c r="K1098">
        <v>2</v>
      </c>
      <c r="L1098" t="s">
        <v>4292</v>
      </c>
      <c r="M1098" s="3" t="s">
        <v>4281</v>
      </c>
      <c r="N1098">
        <v>929.84</v>
      </c>
    </row>
    <row r="1099" spans="1:14" x14ac:dyDescent="0.35">
      <c r="A1099" t="s">
        <v>1111</v>
      </c>
      <c r="B1099" t="s">
        <v>4929</v>
      </c>
      <c r="C1099" t="s">
        <v>2303</v>
      </c>
      <c r="D1099" s="3" t="s">
        <v>2403</v>
      </c>
      <c r="E1099">
        <v>5</v>
      </c>
      <c r="F1099">
        <v>506.45</v>
      </c>
      <c r="G1099" t="s">
        <v>3030</v>
      </c>
      <c r="H1099" s="3" t="s">
        <v>3068</v>
      </c>
      <c r="I1099" s="3" t="s">
        <v>3070</v>
      </c>
      <c r="J1099" t="s">
        <v>4172</v>
      </c>
      <c r="K1099">
        <v>7</v>
      </c>
      <c r="L1099" t="s">
        <v>4277</v>
      </c>
      <c r="M1099" s="3" t="s">
        <v>4282</v>
      </c>
      <c r="N1099">
        <v>2532.25</v>
      </c>
    </row>
    <row r="1100" spans="1:14" x14ac:dyDescent="0.35">
      <c r="A1100" t="s">
        <v>1112</v>
      </c>
      <c r="B1100" t="s">
        <v>4930</v>
      </c>
      <c r="C1100" t="s">
        <v>2304</v>
      </c>
      <c r="D1100" s="3" t="s">
        <v>2403</v>
      </c>
      <c r="E1100">
        <v>4</v>
      </c>
      <c r="F1100">
        <v>255.86</v>
      </c>
      <c r="G1100" t="s">
        <v>3031</v>
      </c>
      <c r="H1100" s="3" t="s">
        <v>3067</v>
      </c>
      <c r="I1100" s="3" t="s">
        <v>3073</v>
      </c>
      <c r="J1100" t="s">
        <v>4173</v>
      </c>
      <c r="K1100">
        <v>7</v>
      </c>
      <c r="L1100" t="s">
        <v>4292</v>
      </c>
      <c r="M1100" s="3" t="s">
        <v>4280</v>
      </c>
      <c r="N1100">
        <v>1023.44</v>
      </c>
    </row>
    <row r="1101" spans="1:14" x14ac:dyDescent="0.35">
      <c r="A1101" t="s">
        <v>1113</v>
      </c>
      <c r="B1101" t="s">
        <v>4840</v>
      </c>
      <c r="C1101" t="s">
        <v>2305</v>
      </c>
      <c r="D1101" s="3" t="s">
        <v>2408</v>
      </c>
      <c r="E1101">
        <v>2</v>
      </c>
      <c r="F1101">
        <v>125.23</v>
      </c>
      <c r="G1101" t="s">
        <v>2724</v>
      </c>
      <c r="H1101" s="3" t="s">
        <v>3069</v>
      </c>
      <c r="I1101" s="3" t="s">
        <v>3071</v>
      </c>
      <c r="J1101" t="s">
        <v>4174</v>
      </c>
      <c r="K1101">
        <v>3</v>
      </c>
      <c r="L1101" t="s">
        <v>4276</v>
      </c>
      <c r="M1101" s="3" t="s">
        <v>4280</v>
      </c>
      <c r="N1101">
        <v>250.46</v>
      </c>
    </row>
    <row r="1102" spans="1:14" x14ac:dyDescent="0.35">
      <c r="A1102" t="s">
        <v>1114</v>
      </c>
      <c r="B1102" t="s">
        <v>4822</v>
      </c>
      <c r="C1102" t="s">
        <v>2306</v>
      </c>
      <c r="D1102" s="3" t="s">
        <v>2408</v>
      </c>
      <c r="E1102">
        <v>5</v>
      </c>
      <c r="F1102">
        <v>38.11</v>
      </c>
      <c r="G1102" t="s">
        <v>3032</v>
      </c>
      <c r="H1102" s="3" t="s">
        <v>3065</v>
      </c>
      <c r="I1102" s="3" t="s">
        <v>3071</v>
      </c>
      <c r="J1102" t="s">
        <v>4175</v>
      </c>
      <c r="K1102">
        <v>6</v>
      </c>
      <c r="L1102" t="s">
        <v>4277</v>
      </c>
      <c r="M1102" s="3" t="s">
        <v>4278</v>
      </c>
      <c r="N1102">
        <v>190.55</v>
      </c>
    </row>
    <row r="1103" spans="1:14" x14ac:dyDescent="0.35">
      <c r="A1103" t="s">
        <v>1115</v>
      </c>
      <c r="B1103" t="s">
        <v>4931</v>
      </c>
      <c r="C1103" t="s">
        <v>2307</v>
      </c>
      <c r="D1103" s="3" t="s">
        <v>2403</v>
      </c>
      <c r="E1103">
        <v>3</v>
      </c>
      <c r="F1103">
        <v>161.97</v>
      </c>
      <c r="G1103" t="s">
        <v>2418</v>
      </c>
      <c r="H1103" s="3" t="s">
        <v>3069</v>
      </c>
      <c r="I1103" s="3" t="s">
        <v>3074</v>
      </c>
      <c r="J1103" t="s">
        <v>4176</v>
      </c>
      <c r="K1103">
        <v>4</v>
      </c>
      <c r="L1103" t="s">
        <v>4275</v>
      </c>
      <c r="M1103" s="3" t="s">
        <v>4280</v>
      </c>
      <c r="N1103">
        <v>485.91</v>
      </c>
    </row>
    <row r="1104" spans="1:14" x14ac:dyDescent="0.35">
      <c r="A1104" t="s">
        <v>1116</v>
      </c>
      <c r="B1104" t="s">
        <v>4845</v>
      </c>
      <c r="C1104" t="s">
        <v>1228</v>
      </c>
      <c r="D1104" s="3" t="s">
        <v>2406</v>
      </c>
      <c r="E1104">
        <v>4</v>
      </c>
      <c r="F1104">
        <v>347.17</v>
      </c>
      <c r="G1104" t="s">
        <v>2904</v>
      </c>
      <c r="H1104" s="3" t="s">
        <v>3065</v>
      </c>
      <c r="I1104" s="3" t="s">
        <v>3070</v>
      </c>
      <c r="J1104" t="s">
        <v>4177</v>
      </c>
      <c r="K1104">
        <v>8</v>
      </c>
      <c r="L1104" t="s">
        <v>4292</v>
      </c>
      <c r="M1104" s="3" t="s">
        <v>4278</v>
      </c>
      <c r="N1104">
        <v>1388.68</v>
      </c>
    </row>
    <row r="1105" spans="1:14" x14ac:dyDescent="0.35">
      <c r="A1105" t="s">
        <v>1117</v>
      </c>
      <c r="B1105" t="s">
        <v>4932</v>
      </c>
      <c r="C1105" t="s">
        <v>2308</v>
      </c>
      <c r="D1105" s="3" t="s">
        <v>2408</v>
      </c>
      <c r="E1105">
        <v>4</v>
      </c>
      <c r="F1105">
        <v>276.32</v>
      </c>
      <c r="G1105" t="s">
        <v>2477</v>
      </c>
      <c r="H1105" s="3" t="s">
        <v>3066</v>
      </c>
      <c r="I1105" s="3" t="s">
        <v>3073</v>
      </c>
      <c r="J1105" t="s">
        <v>4178</v>
      </c>
      <c r="K1105">
        <v>5</v>
      </c>
      <c r="L1105" t="s">
        <v>4292</v>
      </c>
      <c r="M1105" s="3" t="s">
        <v>4282</v>
      </c>
      <c r="N1105">
        <v>1105.28</v>
      </c>
    </row>
    <row r="1106" spans="1:14" x14ac:dyDescent="0.35">
      <c r="A1106" t="s">
        <v>1118</v>
      </c>
      <c r="B1106" t="s">
        <v>4852</v>
      </c>
      <c r="C1106" t="s">
        <v>2309</v>
      </c>
      <c r="D1106" s="3" t="s">
        <v>2405</v>
      </c>
      <c r="E1106">
        <v>4</v>
      </c>
      <c r="F1106">
        <v>314.76</v>
      </c>
      <c r="G1106" t="s">
        <v>3033</v>
      </c>
      <c r="H1106" s="3" t="s">
        <v>3066</v>
      </c>
      <c r="I1106" s="3" t="s">
        <v>3070</v>
      </c>
      <c r="J1106" t="s">
        <v>4179</v>
      </c>
      <c r="K1106">
        <v>8</v>
      </c>
      <c r="L1106" t="s">
        <v>4292</v>
      </c>
      <c r="M1106" s="3" t="s">
        <v>4278</v>
      </c>
      <c r="N1106">
        <v>1259.04</v>
      </c>
    </row>
    <row r="1107" spans="1:14" x14ac:dyDescent="0.35">
      <c r="A1107" t="s">
        <v>1119</v>
      </c>
      <c r="B1107" t="s">
        <v>4933</v>
      </c>
      <c r="C1107" t="s">
        <v>2310</v>
      </c>
      <c r="D1107" s="3" t="s">
        <v>2405</v>
      </c>
      <c r="E1107">
        <v>3</v>
      </c>
      <c r="F1107">
        <v>475.69</v>
      </c>
      <c r="G1107" t="s">
        <v>2644</v>
      </c>
      <c r="H1107" s="3" t="s">
        <v>3068</v>
      </c>
      <c r="I1107" s="3" t="s">
        <v>3071</v>
      </c>
      <c r="J1107" t="s">
        <v>4180</v>
      </c>
      <c r="K1107">
        <v>3</v>
      </c>
      <c r="L1107" t="s">
        <v>4276</v>
      </c>
      <c r="M1107" s="3" t="s">
        <v>4282</v>
      </c>
      <c r="N1107">
        <v>1427.07</v>
      </c>
    </row>
    <row r="1108" spans="1:14" x14ac:dyDescent="0.35">
      <c r="A1108" t="s">
        <v>1120</v>
      </c>
      <c r="B1108" t="s">
        <v>4539</v>
      </c>
      <c r="C1108" t="s">
        <v>2311</v>
      </c>
      <c r="D1108" s="3" t="s">
        <v>2406</v>
      </c>
      <c r="E1108">
        <v>1</v>
      </c>
      <c r="F1108">
        <v>372.8</v>
      </c>
      <c r="G1108" t="s">
        <v>2423</v>
      </c>
      <c r="H1108" s="3" t="s">
        <v>3069</v>
      </c>
      <c r="I1108" s="3" t="s">
        <v>3071</v>
      </c>
      <c r="J1108" t="s">
        <v>4181</v>
      </c>
      <c r="K1108">
        <v>6</v>
      </c>
      <c r="L1108" t="s">
        <v>4275</v>
      </c>
      <c r="M1108" s="3" t="s">
        <v>4281</v>
      </c>
      <c r="N1108">
        <v>372.8</v>
      </c>
    </row>
    <row r="1109" spans="1:14" x14ac:dyDescent="0.35">
      <c r="A1109" t="s">
        <v>1121</v>
      </c>
      <c r="B1109" t="s">
        <v>4517</v>
      </c>
      <c r="C1109" t="s">
        <v>2312</v>
      </c>
      <c r="D1109" s="3" t="s">
        <v>2405</v>
      </c>
      <c r="E1109">
        <v>2</v>
      </c>
      <c r="F1109">
        <v>63.21</v>
      </c>
      <c r="G1109" t="s">
        <v>2839</v>
      </c>
      <c r="H1109" s="3" t="s">
        <v>3066</v>
      </c>
      <c r="I1109" s="3" t="s">
        <v>3071</v>
      </c>
      <c r="J1109" t="s">
        <v>4182</v>
      </c>
      <c r="K1109">
        <v>4</v>
      </c>
      <c r="L1109" t="s">
        <v>4275</v>
      </c>
      <c r="M1109" s="3" t="s">
        <v>4282</v>
      </c>
      <c r="N1109">
        <v>126.42</v>
      </c>
    </row>
    <row r="1110" spans="1:14" x14ac:dyDescent="0.35">
      <c r="A1110" t="s">
        <v>1122</v>
      </c>
      <c r="B1110" t="s">
        <v>4934</v>
      </c>
      <c r="C1110" t="s">
        <v>2313</v>
      </c>
      <c r="D1110" s="3" t="s">
        <v>2408</v>
      </c>
      <c r="E1110">
        <v>1</v>
      </c>
      <c r="F1110">
        <v>634.94000000000005</v>
      </c>
      <c r="G1110" t="s">
        <v>3034</v>
      </c>
      <c r="H1110" s="3" t="s">
        <v>3066</v>
      </c>
      <c r="I1110" s="3" t="s">
        <v>3071</v>
      </c>
      <c r="J1110" t="s">
        <v>4183</v>
      </c>
      <c r="K1110">
        <v>5</v>
      </c>
      <c r="L1110" t="s">
        <v>4277</v>
      </c>
      <c r="M1110" s="3" t="s">
        <v>4278</v>
      </c>
      <c r="N1110">
        <v>634.94000000000005</v>
      </c>
    </row>
    <row r="1111" spans="1:14" x14ac:dyDescent="0.35">
      <c r="A1111" t="s">
        <v>1123</v>
      </c>
      <c r="B1111" t="s">
        <v>4935</v>
      </c>
      <c r="C1111" t="s">
        <v>2314</v>
      </c>
      <c r="D1111" s="3" t="s">
        <v>2407</v>
      </c>
      <c r="E1111">
        <v>4</v>
      </c>
      <c r="F1111">
        <v>77.47</v>
      </c>
      <c r="G1111" t="s">
        <v>2768</v>
      </c>
      <c r="H1111" s="3" t="s">
        <v>3068</v>
      </c>
      <c r="I1111" s="3" t="s">
        <v>3072</v>
      </c>
      <c r="J1111" t="s">
        <v>4184</v>
      </c>
      <c r="K1111">
        <v>7</v>
      </c>
      <c r="L1111" t="s">
        <v>4275</v>
      </c>
      <c r="M1111" s="3" t="s">
        <v>4278</v>
      </c>
      <c r="N1111">
        <v>309.88</v>
      </c>
    </row>
    <row r="1112" spans="1:14" x14ac:dyDescent="0.35">
      <c r="A1112" t="s">
        <v>1124</v>
      </c>
      <c r="B1112" t="s">
        <v>4686</v>
      </c>
      <c r="C1112" t="s">
        <v>2315</v>
      </c>
      <c r="D1112" s="3" t="s">
        <v>2406</v>
      </c>
      <c r="E1112">
        <v>3</v>
      </c>
      <c r="F1112">
        <v>84.31</v>
      </c>
      <c r="G1112" t="s">
        <v>2443</v>
      </c>
      <c r="H1112" s="3" t="s">
        <v>3067</v>
      </c>
      <c r="I1112" s="3" t="s">
        <v>3070</v>
      </c>
      <c r="J1112" t="s">
        <v>4185</v>
      </c>
      <c r="K1112">
        <v>3</v>
      </c>
      <c r="L1112" t="s">
        <v>4275</v>
      </c>
      <c r="M1112" s="3" t="s">
        <v>4280</v>
      </c>
      <c r="N1112">
        <v>252.93</v>
      </c>
    </row>
    <row r="1113" spans="1:14" x14ac:dyDescent="0.35">
      <c r="A1113" t="s">
        <v>1125</v>
      </c>
      <c r="B1113" t="s">
        <v>4590</v>
      </c>
      <c r="C1113" t="s">
        <v>2316</v>
      </c>
      <c r="D1113" s="3" t="s">
        <v>2403</v>
      </c>
      <c r="E1113">
        <v>4</v>
      </c>
      <c r="F1113">
        <v>234.45</v>
      </c>
      <c r="G1113" t="s">
        <v>3035</v>
      </c>
      <c r="H1113" s="3" t="s">
        <v>3066</v>
      </c>
      <c r="I1113" s="3" t="s">
        <v>3071</v>
      </c>
      <c r="J1113" t="s">
        <v>4186</v>
      </c>
      <c r="K1113">
        <v>9</v>
      </c>
      <c r="L1113" t="s">
        <v>4276</v>
      </c>
      <c r="M1113" s="3" t="s">
        <v>4278</v>
      </c>
      <c r="N1113">
        <v>937.8</v>
      </c>
    </row>
    <row r="1114" spans="1:14" x14ac:dyDescent="0.35">
      <c r="A1114" t="s">
        <v>1126</v>
      </c>
      <c r="B1114" t="s">
        <v>4936</v>
      </c>
      <c r="C1114" t="s">
        <v>2317</v>
      </c>
      <c r="D1114" s="3" t="s">
        <v>2409</v>
      </c>
      <c r="E1114">
        <v>1</v>
      </c>
      <c r="F1114">
        <v>356.81</v>
      </c>
      <c r="G1114" t="s">
        <v>2526</v>
      </c>
      <c r="H1114" s="3" t="s">
        <v>3066</v>
      </c>
      <c r="I1114" s="3" t="s">
        <v>3073</v>
      </c>
      <c r="J1114" t="s">
        <v>4187</v>
      </c>
      <c r="K1114">
        <v>1</v>
      </c>
      <c r="L1114" t="s">
        <v>4277</v>
      </c>
      <c r="M1114" s="3" t="s">
        <v>4278</v>
      </c>
      <c r="N1114">
        <v>356.81</v>
      </c>
    </row>
    <row r="1115" spans="1:14" x14ac:dyDescent="0.35">
      <c r="A1115" t="s">
        <v>1127</v>
      </c>
      <c r="B1115" t="s">
        <v>4395</v>
      </c>
      <c r="C1115" t="s">
        <v>2318</v>
      </c>
      <c r="D1115" s="3" t="s">
        <v>2409</v>
      </c>
      <c r="E1115">
        <v>4</v>
      </c>
      <c r="F1115">
        <v>209.99</v>
      </c>
      <c r="G1115" t="s">
        <v>2982</v>
      </c>
      <c r="H1115" s="3" t="s">
        <v>3069</v>
      </c>
      <c r="I1115" s="3" t="s">
        <v>3073</v>
      </c>
      <c r="J1115" t="s">
        <v>4188</v>
      </c>
      <c r="K1115">
        <v>8</v>
      </c>
      <c r="L1115" t="s">
        <v>4292</v>
      </c>
      <c r="M1115" s="3" t="s">
        <v>4282</v>
      </c>
      <c r="N1115">
        <v>839.96</v>
      </c>
    </row>
    <row r="1116" spans="1:14" x14ac:dyDescent="0.35">
      <c r="A1116" t="s">
        <v>1128</v>
      </c>
      <c r="B1116" t="s">
        <v>4937</v>
      </c>
      <c r="C1116" t="s">
        <v>2319</v>
      </c>
      <c r="D1116" s="3" t="s">
        <v>2405</v>
      </c>
      <c r="E1116">
        <v>3</v>
      </c>
      <c r="F1116">
        <v>659.88</v>
      </c>
      <c r="G1116" t="s">
        <v>2591</v>
      </c>
      <c r="H1116" s="3" t="s">
        <v>3068</v>
      </c>
      <c r="I1116" s="3" t="s">
        <v>3071</v>
      </c>
      <c r="J1116" t="s">
        <v>4189</v>
      </c>
      <c r="K1116">
        <v>3</v>
      </c>
      <c r="L1116" t="s">
        <v>4292</v>
      </c>
      <c r="M1116" s="3" t="s">
        <v>4282</v>
      </c>
      <c r="N1116">
        <v>1979.64</v>
      </c>
    </row>
    <row r="1117" spans="1:14" x14ac:dyDescent="0.35">
      <c r="A1117" t="s">
        <v>1129</v>
      </c>
      <c r="B1117" t="s">
        <v>4410</v>
      </c>
      <c r="C1117" t="s">
        <v>2320</v>
      </c>
      <c r="D1117" s="3" t="s">
        <v>2408</v>
      </c>
      <c r="E1117">
        <v>2</v>
      </c>
      <c r="F1117">
        <v>336.32</v>
      </c>
      <c r="G1117" t="s">
        <v>2613</v>
      </c>
      <c r="H1117" s="3" t="s">
        <v>3066</v>
      </c>
      <c r="I1117" s="3" t="s">
        <v>3072</v>
      </c>
      <c r="J1117" t="s">
        <v>4190</v>
      </c>
      <c r="K1117">
        <v>3</v>
      </c>
      <c r="L1117" t="s">
        <v>4292</v>
      </c>
      <c r="M1117" s="3" t="s">
        <v>4282</v>
      </c>
      <c r="N1117">
        <v>672.64</v>
      </c>
    </row>
    <row r="1118" spans="1:14" x14ac:dyDescent="0.35">
      <c r="A1118" t="s">
        <v>1130</v>
      </c>
      <c r="B1118" t="s">
        <v>4896</v>
      </c>
      <c r="C1118" t="s">
        <v>2321</v>
      </c>
      <c r="D1118" s="3" t="s">
        <v>2407</v>
      </c>
      <c r="E1118">
        <v>2</v>
      </c>
      <c r="F1118">
        <v>531.49</v>
      </c>
      <c r="G1118" t="s">
        <v>2613</v>
      </c>
      <c r="H1118" s="3" t="s">
        <v>3067</v>
      </c>
      <c r="I1118" s="3" t="s">
        <v>3073</v>
      </c>
      <c r="J1118" t="s">
        <v>4191</v>
      </c>
      <c r="K1118">
        <v>7</v>
      </c>
      <c r="L1118" t="s">
        <v>4277</v>
      </c>
      <c r="M1118" s="3" t="s">
        <v>4281</v>
      </c>
      <c r="N1118">
        <v>1062.98</v>
      </c>
    </row>
    <row r="1119" spans="1:14" x14ac:dyDescent="0.35">
      <c r="A1119" t="s">
        <v>1131</v>
      </c>
      <c r="B1119" t="s">
        <v>4483</v>
      </c>
      <c r="C1119" t="s">
        <v>2322</v>
      </c>
      <c r="D1119" s="3" t="s">
        <v>2406</v>
      </c>
      <c r="E1119">
        <v>3</v>
      </c>
      <c r="F1119">
        <v>588.44000000000005</v>
      </c>
      <c r="G1119" t="s">
        <v>2734</v>
      </c>
      <c r="H1119" s="3" t="s">
        <v>3068</v>
      </c>
      <c r="I1119" s="3" t="s">
        <v>3070</v>
      </c>
      <c r="J1119" t="s">
        <v>4192</v>
      </c>
      <c r="K1119">
        <v>8</v>
      </c>
      <c r="L1119" t="s">
        <v>4277</v>
      </c>
      <c r="M1119" s="3" t="s">
        <v>4282</v>
      </c>
      <c r="N1119">
        <v>1765.32</v>
      </c>
    </row>
    <row r="1120" spans="1:14" x14ac:dyDescent="0.35">
      <c r="A1120" t="s">
        <v>1132</v>
      </c>
      <c r="B1120" t="s">
        <v>4359</v>
      </c>
      <c r="C1120" t="s">
        <v>2323</v>
      </c>
      <c r="D1120" s="3" t="s">
        <v>2404</v>
      </c>
      <c r="E1120">
        <v>3</v>
      </c>
      <c r="F1120">
        <v>251.48</v>
      </c>
      <c r="G1120" t="s">
        <v>2729</v>
      </c>
      <c r="H1120" s="3" t="s">
        <v>3067</v>
      </c>
      <c r="I1120" s="3" t="s">
        <v>3072</v>
      </c>
      <c r="J1120" t="s">
        <v>4193</v>
      </c>
      <c r="K1120">
        <v>4</v>
      </c>
      <c r="L1120" t="s">
        <v>4292</v>
      </c>
      <c r="M1120" s="3" t="s">
        <v>4280</v>
      </c>
      <c r="N1120">
        <v>754.44</v>
      </c>
    </row>
    <row r="1121" spans="1:14" x14ac:dyDescent="0.35">
      <c r="A1121" t="s">
        <v>1133</v>
      </c>
      <c r="B1121" t="s">
        <v>4451</v>
      </c>
      <c r="C1121" t="s">
        <v>2324</v>
      </c>
      <c r="D1121" s="3" t="s">
        <v>2408</v>
      </c>
      <c r="E1121">
        <v>1</v>
      </c>
      <c r="F1121">
        <v>684.65</v>
      </c>
      <c r="G1121" t="s">
        <v>2634</v>
      </c>
      <c r="H1121" s="3" t="s">
        <v>3067</v>
      </c>
      <c r="I1121" s="3" t="s">
        <v>3073</v>
      </c>
      <c r="J1121" t="s">
        <v>4194</v>
      </c>
      <c r="K1121">
        <v>1</v>
      </c>
      <c r="L1121" t="s">
        <v>4276</v>
      </c>
      <c r="M1121" s="3" t="s">
        <v>4280</v>
      </c>
      <c r="N1121">
        <v>684.65</v>
      </c>
    </row>
    <row r="1122" spans="1:14" x14ac:dyDescent="0.35">
      <c r="A1122" t="s">
        <v>1134</v>
      </c>
      <c r="B1122" t="s">
        <v>4684</v>
      </c>
      <c r="C1122" t="s">
        <v>2325</v>
      </c>
      <c r="D1122" s="3" t="s">
        <v>2405</v>
      </c>
      <c r="E1122">
        <v>1</v>
      </c>
      <c r="F1122">
        <v>195.86</v>
      </c>
      <c r="G1122" t="s">
        <v>2450</v>
      </c>
      <c r="H1122" s="3" t="s">
        <v>3066</v>
      </c>
      <c r="I1122" s="3" t="s">
        <v>3074</v>
      </c>
      <c r="J1122" t="s">
        <v>4195</v>
      </c>
      <c r="K1122">
        <v>3</v>
      </c>
      <c r="L1122" t="s">
        <v>4292</v>
      </c>
      <c r="M1122" s="3" t="s">
        <v>4281</v>
      </c>
      <c r="N1122">
        <v>195.86</v>
      </c>
    </row>
    <row r="1123" spans="1:14" x14ac:dyDescent="0.35">
      <c r="A1123" t="s">
        <v>1135</v>
      </c>
      <c r="B1123" t="s">
        <v>4938</v>
      </c>
      <c r="C1123" t="s">
        <v>2326</v>
      </c>
      <c r="D1123" s="3" t="s">
        <v>2404</v>
      </c>
      <c r="E1123">
        <v>3</v>
      </c>
      <c r="F1123">
        <v>50.34</v>
      </c>
      <c r="G1123" t="s">
        <v>2965</v>
      </c>
      <c r="H1123" s="3" t="s">
        <v>3068</v>
      </c>
      <c r="I1123" s="3" t="s">
        <v>3072</v>
      </c>
      <c r="J1123" t="s">
        <v>4196</v>
      </c>
      <c r="K1123">
        <v>3</v>
      </c>
      <c r="L1123" t="s">
        <v>4276</v>
      </c>
      <c r="M1123" s="3" t="s">
        <v>4278</v>
      </c>
      <c r="N1123">
        <v>151.02000000000001</v>
      </c>
    </row>
    <row r="1124" spans="1:14" x14ac:dyDescent="0.35">
      <c r="A1124" t="s">
        <v>1136</v>
      </c>
      <c r="B1124" t="s">
        <v>4607</v>
      </c>
      <c r="C1124" t="s">
        <v>1480</v>
      </c>
      <c r="D1124" s="3" t="s">
        <v>2403</v>
      </c>
      <c r="E1124">
        <v>5</v>
      </c>
      <c r="F1124">
        <v>678.19</v>
      </c>
      <c r="G1124" t="s">
        <v>3008</v>
      </c>
      <c r="H1124" s="3" t="s">
        <v>3066</v>
      </c>
      <c r="I1124" s="3" t="s">
        <v>3072</v>
      </c>
      <c r="J1124" t="s">
        <v>4197</v>
      </c>
      <c r="K1124">
        <v>8</v>
      </c>
      <c r="L1124" t="s">
        <v>4292</v>
      </c>
      <c r="M1124" s="3" t="s">
        <v>4281</v>
      </c>
      <c r="N1124">
        <v>3390.95</v>
      </c>
    </row>
    <row r="1125" spans="1:14" x14ac:dyDescent="0.35">
      <c r="A1125" t="s">
        <v>1137</v>
      </c>
      <c r="B1125" t="s">
        <v>4939</v>
      </c>
      <c r="C1125" t="s">
        <v>2327</v>
      </c>
      <c r="D1125" s="3" t="s">
        <v>2405</v>
      </c>
      <c r="E1125">
        <v>3</v>
      </c>
      <c r="F1125">
        <v>554.25</v>
      </c>
      <c r="G1125" t="s">
        <v>3036</v>
      </c>
      <c r="H1125" s="3" t="s">
        <v>3065</v>
      </c>
      <c r="I1125" s="3" t="s">
        <v>3070</v>
      </c>
      <c r="J1125" t="s">
        <v>4198</v>
      </c>
      <c r="K1125">
        <v>6</v>
      </c>
      <c r="L1125" t="s">
        <v>4277</v>
      </c>
      <c r="M1125" s="3" t="s">
        <v>4279</v>
      </c>
      <c r="N1125">
        <v>1662.75</v>
      </c>
    </row>
    <row r="1126" spans="1:14" x14ac:dyDescent="0.35">
      <c r="A1126" t="s">
        <v>1138</v>
      </c>
      <c r="B1126" t="s">
        <v>4505</v>
      </c>
      <c r="C1126" t="s">
        <v>2328</v>
      </c>
      <c r="D1126" s="3" t="s">
        <v>2406</v>
      </c>
      <c r="E1126">
        <v>4</v>
      </c>
      <c r="F1126">
        <v>576.87</v>
      </c>
      <c r="G1126" t="s">
        <v>3037</v>
      </c>
      <c r="H1126" s="3" t="s">
        <v>3068</v>
      </c>
      <c r="I1126" s="3" t="s">
        <v>3072</v>
      </c>
      <c r="J1126" t="s">
        <v>4199</v>
      </c>
      <c r="K1126">
        <v>5</v>
      </c>
      <c r="L1126" t="s">
        <v>4292</v>
      </c>
      <c r="M1126" s="3" t="s">
        <v>4278</v>
      </c>
      <c r="N1126">
        <v>2307.48</v>
      </c>
    </row>
    <row r="1127" spans="1:14" x14ac:dyDescent="0.35">
      <c r="A1127" t="s">
        <v>1139</v>
      </c>
      <c r="B1127" t="s">
        <v>4788</v>
      </c>
      <c r="C1127" t="s">
        <v>2329</v>
      </c>
      <c r="D1127" s="3" t="s">
        <v>2409</v>
      </c>
      <c r="E1127">
        <v>4</v>
      </c>
      <c r="F1127">
        <v>408.36</v>
      </c>
      <c r="G1127" t="s">
        <v>2958</v>
      </c>
      <c r="H1127" s="3" t="s">
        <v>3068</v>
      </c>
      <c r="I1127" s="3" t="s">
        <v>3071</v>
      </c>
      <c r="J1127" t="s">
        <v>4200</v>
      </c>
      <c r="K1127">
        <v>4</v>
      </c>
      <c r="L1127" t="s">
        <v>4276</v>
      </c>
      <c r="M1127" s="3" t="s">
        <v>4279</v>
      </c>
      <c r="N1127">
        <v>1633.44</v>
      </c>
    </row>
    <row r="1128" spans="1:14" x14ac:dyDescent="0.35">
      <c r="A1128" t="s">
        <v>1140</v>
      </c>
      <c r="B1128" t="s">
        <v>4603</v>
      </c>
      <c r="C1128" t="s">
        <v>2330</v>
      </c>
      <c r="D1128" s="3" t="s">
        <v>2404</v>
      </c>
      <c r="E1128">
        <v>5</v>
      </c>
      <c r="F1128">
        <v>190.11</v>
      </c>
      <c r="G1128" t="s">
        <v>3038</v>
      </c>
      <c r="H1128" s="3" t="s">
        <v>3069</v>
      </c>
      <c r="I1128" s="3" t="s">
        <v>3073</v>
      </c>
      <c r="J1128" t="s">
        <v>4201</v>
      </c>
      <c r="K1128">
        <v>7</v>
      </c>
      <c r="L1128" t="s">
        <v>4275</v>
      </c>
      <c r="M1128" s="3" t="s">
        <v>4282</v>
      </c>
      <c r="N1128">
        <v>950.55</v>
      </c>
    </row>
    <row r="1129" spans="1:14" x14ac:dyDescent="0.35">
      <c r="A1129" t="s">
        <v>1141</v>
      </c>
      <c r="B1129" t="s">
        <v>4459</v>
      </c>
      <c r="C1129" t="s">
        <v>2331</v>
      </c>
      <c r="D1129" s="3" t="s">
        <v>2407</v>
      </c>
      <c r="E1129">
        <v>3</v>
      </c>
      <c r="F1129">
        <v>602.75</v>
      </c>
      <c r="G1129" t="s">
        <v>2939</v>
      </c>
      <c r="H1129" s="3" t="s">
        <v>3067</v>
      </c>
      <c r="I1129" s="3" t="s">
        <v>3070</v>
      </c>
      <c r="J1129" t="s">
        <v>4202</v>
      </c>
      <c r="K1129">
        <v>6</v>
      </c>
      <c r="L1129" t="s">
        <v>4275</v>
      </c>
      <c r="M1129" s="3" t="s">
        <v>4280</v>
      </c>
      <c r="N1129">
        <v>1808.25</v>
      </c>
    </row>
    <row r="1130" spans="1:14" x14ac:dyDescent="0.35">
      <c r="A1130" t="s">
        <v>1142</v>
      </c>
      <c r="B1130" t="s">
        <v>4822</v>
      </c>
      <c r="C1130" t="s">
        <v>2332</v>
      </c>
      <c r="D1130" s="3" t="s">
        <v>2403</v>
      </c>
      <c r="E1130">
        <v>3</v>
      </c>
      <c r="F1130">
        <v>646.79</v>
      </c>
      <c r="G1130" t="s">
        <v>2490</v>
      </c>
      <c r="H1130" s="3" t="s">
        <v>3069</v>
      </c>
      <c r="I1130" s="3" t="s">
        <v>3071</v>
      </c>
      <c r="J1130" t="s">
        <v>4203</v>
      </c>
      <c r="K1130">
        <v>5</v>
      </c>
      <c r="L1130" t="s">
        <v>4277</v>
      </c>
      <c r="M1130" s="3" t="s">
        <v>4282</v>
      </c>
      <c r="N1130">
        <v>1940.37</v>
      </c>
    </row>
    <row r="1131" spans="1:14" x14ac:dyDescent="0.35">
      <c r="A1131" t="s">
        <v>1143</v>
      </c>
      <c r="B1131" t="s">
        <v>4520</v>
      </c>
      <c r="C1131" t="s">
        <v>2333</v>
      </c>
      <c r="D1131" s="3" t="s">
        <v>2406</v>
      </c>
      <c r="E1131">
        <v>4</v>
      </c>
      <c r="F1131">
        <v>418.71</v>
      </c>
      <c r="G1131" t="s">
        <v>2480</v>
      </c>
      <c r="H1131" s="3" t="s">
        <v>3069</v>
      </c>
      <c r="I1131" s="3" t="s">
        <v>3074</v>
      </c>
      <c r="J1131" t="s">
        <v>4204</v>
      </c>
      <c r="K1131">
        <v>8</v>
      </c>
      <c r="L1131" t="s">
        <v>4276</v>
      </c>
      <c r="M1131" s="3" t="s">
        <v>4278</v>
      </c>
      <c r="N1131">
        <v>1674.84</v>
      </c>
    </row>
    <row r="1132" spans="1:14" x14ac:dyDescent="0.35">
      <c r="A1132" t="s">
        <v>1144</v>
      </c>
      <c r="B1132" t="s">
        <v>4940</v>
      </c>
      <c r="C1132" t="s">
        <v>2334</v>
      </c>
      <c r="D1132" s="3" t="s">
        <v>2408</v>
      </c>
      <c r="E1132">
        <v>2</v>
      </c>
      <c r="F1132">
        <v>323.45</v>
      </c>
      <c r="G1132" t="s">
        <v>2501</v>
      </c>
      <c r="H1132" s="3" t="s">
        <v>3067</v>
      </c>
      <c r="I1132" s="3" t="s">
        <v>3072</v>
      </c>
      <c r="J1132" t="s">
        <v>4205</v>
      </c>
      <c r="K1132">
        <v>5</v>
      </c>
      <c r="L1132" t="s">
        <v>4276</v>
      </c>
      <c r="M1132" s="3" t="s">
        <v>4278</v>
      </c>
      <c r="N1132">
        <v>646.9</v>
      </c>
    </row>
    <row r="1133" spans="1:14" x14ac:dyDescent="0.35">
      <c r="A1133" t="s">
        <v>1145</v>
      </c>
      <c r="B1133" t="s">
        <v>4692</v>
      </c>
      <c r="C1133" t="s">
        <v>2335</v>
      </c>
      <c r="D1133" s="3" t="s">
        <v>2404</v>
      </c>
      <c r="E1133">
        <v>1</v>
      </c>
      <c r="F1133">
        <v>694.5</v>
      </c>
      <c r="G1133" t="s">
        <v>2651</v>
      </c>
      <c r="H1133" s="3" t="s">
        <v>3067</v>
      </c>
      <c r="I1133" s="3" t="s">
        <v>3074</v>
      </c>
      <c r="J1133" t="s">
        <v>4206</v>
      </c>
      <c r="K1133">
        <v>3</v>
      </c>
      <c r="L1133" t="s">
        <v>4277</v>
      </c>
      <c r="M1133" s="3" t="s">
        <v>4281</v>
      </c>
      <c r="N1133">
        <v>694.5</v>
      </c>
    </row>
    <row r="1134" spans="1:14" x14ac:dyDescent="0.35">
      <c r="A1134" t="s">
        <v>1146</v>
      </c>
      <c r="B1134" t="s">
        <v>4941</v>
      </c>
      <c r="C1134" t="s">
        <v>2336</v>
      </c>
      <c r="D1134" s="3" t="s">
        <v>2406</v>
      </c>
      <c r="E1134">
        <v>2</v>
      </c>
      <c r="F1134">
        <v>337.32</v>
      </c>
      <c r="G1134" t="s">
        <v>2608</v>
      </c>
      <c r="H1134" s="3" t="s">
        <v>3067</v>
      </c>
      <c r="I1134" s="3" t="s">
        <v>3071</v>
      </c>
      <c r="J1134" t="s">
        <v>4207</v>
      </c>
      <c r="K1134">
        <v>4</v>
      </c>
      <c r="L1134" t="s">
        <v>4275</v>
      </c>
      <c r="M1134" s="3" t="s">
        <v>4280</v>
      </c>
      <c r="N1134">
        <v>674.64</v>
      </c>
    </row>
    <row r="1135" spans="1:14" x14ac:dyDescent="0.35">
      <c r="A1135" t="s">
        <v>1147</v>
      </c>
      <c r="B1135" t="s">
        <v>4682</v>
      </c>
      <c r="C1135" t="s">
        <v>2337</v>
      </c>
      <c r="D1135" s="3" t="s">
        <v>2407</v>
      </c>
      <c r="E1135">
        <v>2</v>
      </c>
      <c r="F1135">
        <v>467.91</v>
      </c>
      <c r="G1135" t="s">
        <v>2597</v>
      </c>
      <c r="H1135" s="3" t="s">
        <v>3068</v>
      </c>
      <c r="I1135" s="3" t="s">
        <v>3072</v>
      </c>
      <c r="J1135" t="s">
        <v>4208</v>
      </c>
      <c r="K1135">
        <v>5</v>
      </c>
      <c r="L1135" t="s">
        <v>4277</v>
      </c>
      <c r="M1135" s="3" t="s">
        <v>4281</v>
      </c>
      <c r="N1135">
        <v>935.82</v>
      </c>
    </row>
    <row r="1136" spans="1:14" x14ac:dyDescent="0.35">
      <c r="A1136" t="s">
        <v>1148</v>
      </c>
      <c r="B1136" t="s">
        <v>4464</v>
      </c>
      <c r="C1136" t="s">
        <v>2338</v>
      </c>
      <c r="D1136" s="3" t="s">
        <v>2409</v>
      </c>
      <c r="E1136">
        <v>4</v>
      </c>
      <c r="F1136">
        <v>38.28</v>
      </c>
      <c r="G1136" t="s">
        <v>3039</v>
      </c>
      <c r="H1136" s="3" t="s">
        <v>3065</v>
      </c>
      <c r="I1136" s="3" t="s">
        <v>3071</v>
      </c>
      <c r="J1136" t="s">
        <v>4209</v>
      </c>
      <c r="K1136">
        <v>4</v>
      </c>
      <c r="L1136" t="s">
        <v>4277</v>
      </c>
      <c r="M1136" s="3" t="s">
        <v>4281</v>
      </c>
      <c r="N1136">
        <v>153.12</v>
      </c>
    </row>
    <row r="1137" spans="1:14" x14ac:dyDescent="0.35">
      <c r="A1137" t="s">
        <v>1149</v>
      </c>
      <c r="B1137" t="s">
        <v>4437</v>
      </c>
      <c r="C1137" t="s">
        <v>2339</v>
      </c>
      <c r="D1137" s="3" t="s">
        <v>2407</v>
      </c>
      <c r="E1137">
        <v>2</v>
      </c>
      <c r="F1137">
        <v>73.41</v>
      </c>
      <c r="G1137" t="s">
        <v>2613</v>
      </c>
      <c r="H1137" s="3" t="s">
        <v>3066</v>
      </c>
      <c r="I1137" s="3" t="s">
        <v>3070</v>
      </c>
      <c r="J1137" t="s">
        <v>4210</v>
      </c>
      <c r="K1137">
        <v>2</v>
      </c>
      <c r="L1137" t="s">
        <v>4275</v>
      </c>
      <c r="M1137" s="3" t="s">
        <v>4282</v>
      </c>
      <c r="N1137">
        <v>146.82</v>
      </c>
    </row>
    <row r="1138" spans="1:14" x14ac:dyDescent="0.35">
      <c r="A1138" t="s">
        <v>1150</v>
      </c>
      <c r="B1138" t="s">
        <v>4747</v>
      </c>
      <c r="C1138" t="s">
        <v>2340</v>
      </c>
      <c r="D1138" s="3" t="s">
        <v>2405</v>
      </c>
      <c r="E1138">
        <v>3</v>
      </c>
      <c r="F1138">
        <v>668.33</v>
      </c>
      <c r="G1138" t="s">
        <v>2882</v>
      </c>
      <c r="H1138" s="3" t="s">
        <v>3068</v>
      </c>
      <c r="I1138" s="3" t="s">
        <v>3074</v>
      </c>
      <c r="J1138" t="s">
        <v>4211</v>
      </c>
      <c r="K1138">
        <v>4</v>
      </c>
      <c r="L1138" t="s">
        <v>4277</v>
      </c>
      <c r="M1138" s="3" t="s">
        <v>4281</v>
      </c>
      <c r="N1138">
        <v>2004.99</v>
      </c>
    </row>
    <row r="1139" spans="1:14" x14ac:dyDescent="0.35">
      <c r="A1139" t="s">
        <v>1151</v>
      </c>
      <c r="B1139" t="s">
        <v>4795</v>
      </c>
      <c r="C1139" t="s">
        <v>2341</v>
      </c>
      <c r="D1139" s="3" t="s">
        <v>2407</v>
      </c>
      <c r="E1139">
        <v>4</v>
      </c>
      <c r="F1139">
        <v>410.21</v>
      </c>
      <c r="G1139" t="s">
        <v>3040</v>
      </c>
      <c r="H1139" s="3" t="s">
        <v>3069</v>
      </c>
      <c r="I1139" s="3" t="s">
        <v>3074</v>
      </c>
      <c r="J1139" t="s">
        <v>4212</v>
      </c>
      <c r="K1139">
        <v>5</v>
      </c>
      <c r="L1139" t="s">
        <v>4277</v>
      </c>
      <c r="M1139" s="3" t="s">
        <v>4278</v>
      </c>
      <c r="N1139">
        <v>1640.84</v>
      </c>
    </row>
    <row r="1140" spans="1:14" x14ac:dyDescent="0.35">
      <c r="A1140" t="s">
        <v>1152</v>
      </c>
      <c r="B1140" t="s">
        <v>4836</v>
      </c>
      <c r="C1140" t="s">
        <v>2342</v>
      </c>
      <c r="D1140" s="3" t="s">
        <v>2409</v>
      </c>
      <c r="E1140">
        <v>4</v>
      </c>
      <c r="F1140">
        <v>294.41000000000003</v>
      </c>
      <c r="G1140" t="s">
        <v>2865</v>
      </c>
      <c r="H1140" s="3" t="s">
        <v>3065</v>
      </c>
      <c r="I1140" s="3" t="s">
        <v>3074</v>
      </c>
      <c r="J1140" t="s">
        <v>4213</v>
      </c>
      <c r="K1140">
        <v>4</v>
      </c>
      <c r="L1140" t="s">
        <v>4292</v>
      </c>
      <c r="M1140" s="3" t="s">
        <v>4278</v>
      </c>
      <c r="N1140">
        <v>1177.6400000000001</v>
      </c>
    </row>
    <row r="1141" spans="1:14" x14ac:dyDescent="0.35">
      <c r="A1141" t="s">
        <v>1153</v>
      </c>
      <c r="B1141" t="s">
        <v>4911</v>
      </c>
      <c r="C1141" t="s">
        <v>2256</v>
      </c>
      <c r="D1141" s="3" t="s">
        <v>2406</v>
      </c>
      <c r="E1141">
        <v>3</v>
      </c>
      <c r="F1141">
        <v>501.82</v>
      </c>
      <c r="G1141" t="s">
        <v>2438</v>
      </c>
      <c r="H1141" s="3" t="s">
        <v>3068</v>
      </c>
      <c r="I1141" s="3" t="s">
        <v>3071</v>
      </c>
      <c r="J1141" t="s">
        <v>4214</v>
      </c>
      <c r="K1141">
        <v>4</v>
      </c>
      <c r="L1141" t="s">
        <v>4276</v>
      </c>
      <c r="M1141" s="3" t="s">
        <v>4280</v>
      </c>
      <c r="N1141">
        <v>1505.46</v>
      </c>
    </row>
    <row r="1142" spans="1:14" x14ac:dyDescent="0.35">
      <c r="A1142" t="s">
        <v>1154</v>
      </c>
      <c r="B1142" t="s">
        <v>4942</v>
      </c>
      <c r="C1142" t="s">
        <v>2343</v>
      </c>
      <c r="D1142" s="3" t="s">
        <v>2407</v>
      </c>
      <c r="E1142">
        <v>2</v>
      </c>
      <c r="F1142">
        <v>552.83000000000004</v>
      </c>
      <c r="G1142" t="s">
        <v>2418</v>
      </c>
      <c r="H1142" s="3" t="s">
        <v>3067</v>
      </c>
      <c r="I1142" s="3" t="s">
        <v>3071</v>
      </c>
      <c r="J1142" t="s">
        <v>4215</v>
      </c>
      <c r="K1142">
        <v>3</v>
      </c>
      <c r="L1142" t="s">
        <v>4292</v>
      </c>
      <c r="M1142" s="3" t="s">
        <v>4279</v>
      </c>
      <c r="N1142">
        <v>1105.6600000000001</v>
      </c>
    </row>
    <row r="1143" spans="1:14" x14ac:dyDescent="0.35">
      <c r="A1143" t="s">
        <v>1155</v>
      </c>
      <c r="B1143" t="s">
        <v>4940</v>
      </c>
      <c r="C1143" t="s">
        <v>2344</v>
      </c>
      <c r="D1143" s="3" t="s">
        <v>2406</v>
      </c>
      <c r="E1143">
        <v>3</v>
      </c>
      <c r="F1143">
        <v>498.66</v>
      </c>
      <c r="G1143" t="s">
        <v>2427</v>
      </c>
      <c r="H1143" s="3" t="s">
        <v>3069</v>
      </c>
      <c r="I1143" s="3" t="s">
        <v>3071</v>
      </c>
      <c r="J1143" t="s">
        <v>4216</v>
      </c>
      <c r="K1143">
        <v>6</v>
      </c>
      <c r="L1143" t="s">
        <v>4292</v>
      </c>
      <c r="M1143" s="3" t="s">
        <v>4280</v>
      </c>
      <c r="N1143">
        <v>1495.98</v>
      </c>
    </row>
    <row r="1144" spans="1:14" x14ac:dyDescent="0.35">
      <c r="A1144" t="s">
        <v>1156</v>
      </c>
      <c r="B1144" t="s">
        <v>4284</v>
      </c>
      <c r="C1144" t="s">
        <v>2345</v>
      </c>
      <c r="D1144" s="3" t="s">
        <v>2404</v>
      </c>
      <c r="E1144">
        <v>4</v>
      </c>
      <c r="F1144">
        <v>695.1</v>
      </c>
      <c r="G1144" t="s">
        <v>3041</v>
      </c>
      <c r="H1144" s="3" t="s">
        <v>3065</v>
      </c>
      <c r="I1144" s="3" t="s">
        <v>3072</v>
      </c>
      <c r="J1144" t="s">
        <v>4217</v>
      </c>
      <c r="K1144">
        <v>8</v>
      </c>
      <c r="L1144" t="s">
        <v>4292</v>
      </c>
      <c r="M1144" s="3" t="s">
        <v>4280</v>
      </c>
      <c r="N1144">
        <v>2780.4</v>
      </c>
    </row>
    <row r="1145" spans="1:14" x14ac:dyDescent="0.35">
      <c r="A1145" t="s">
        <v>1157</v>
      </c>
      <c r="B1145" t="s">
        <v>4943</v>
      </c>
      <c r="C1145" t="s">
        <v>2346</v>
      </c>
      <c r="D1145" s="3" t="s">
        <v>2406</v>
      </c>
      <c r="E1145">
        <v>1</v>
      </c>
      <c r="F1145">
        <v>381.61</v>
      </c>
      <c r="G1145" t="s">
        <v>3042</v>
      </c>
      <c r="H1145" s="3" t="s">
        <v>3065</v>
      </c>
      <c r="I1145" s="3" t="s">
        <v>3074</v>
      </c>
      <c r="J1145" t="s">
        <v>4218</v>
      </c>
      <c r="K1145">
        <v>5</v>
      </c>
      <c r="L1145" t="s">
        <v>4292</v>
      </c>
      <c r="M1145" s="3" t="s">
        <v>4280</v>
      </c>
      <c r="N1145">
        <v>381.61</v>
      </c>
    </row>
    <row r="1146" spans="1:14" x14ac:dyDescent="0.35">
      <c r="A1146" t="s">
        <v>1158</v>
      </c>
      <c r="B1146" t="s">
        <v>4507</v>
      </c>
      <c r="C1146" t="s">
        <v>2347</v>
      </c>
      <c r="D1146" s="3" t="s">
        <v>2409</v>
      </c>
      <c r="E1146">
        <v>5</v>
      </c>
      <c r="F1146">
        <v>507.94</v>
      </c>
      <c r="G1146" t="s">
        <v>3043</v>
      </c>
      <c r="H1146" s="3" t="s">
        <v>3066</v>
      </c>
      <c r="I1146" s="3" t="s">
        <v>3071</v>
      </c>
      <c r="J1146" t="s">
        <v>4219</v>
      </c>
      <c r="K1146">
        <v>9</v>
      </c>
      <c r="L1146" t="s">
        <v>4292</v>
      </c>
      <c r="M1146" s="3" t="s">
        <v>4281</v>
      </c>
      <c r="N1146">
        <v>2539.6999999999998</v>
      </c>
    </row>
    <row r="1147" spans="1:14" x14ac:dyDescent="0.35">
      <c r="A1147" t="s">
        <v>1159</v>
      </c>
      <c r="B1147" t="s">
        <v>4559</v>
      </c>
      <c r="C1147" t="s">
        <v>2348</v>
      </c>
      <c r="D1147" s="3" t="s">
        <v>2409</v>
      </c>
      <c r="E1147">
        <v>3</v>
      </c>
      <c r="F1147">
        <v>571.53</v>
      </c>
      <c r="G1147" t="s">
        <v>2628</v>
      </c>
      <c r="H1147" s="3" t="s">
        <v>3065</v>
      </c>
      <c r="I1147" s="3" t="s">
        <v>3073</v>
      </c>
      <c r="J1147" t="s">
        <v>4220</v>
      </c>
      <c r="K1147">
        <v>6</v>
      </c>
      <c r="L1147" t="s">
        <v>4276</v>
      </c>
      <c r="M1147" s="3" t="s">
        <v>4281</v>
      </c>
      <c r="N1147">
        <v>1714.59</v>
      </c>
    </row>
    <row r="1148" spans="1:14" x14ac:dyDescent="0.35">
      <c r="A1148" t="s">
        <v>1160</v>
      </c>
      <c r="B1148" t="s">
        <v>4809</v>
      </c>
      <c r="C1148" t="s">
        <v>2349</v>
      </c>
      <c r="D1148" s="3" t="s">
        <v>2403</v>
      </c>
      <c r="E1148">
        <v>5</v>
      </c>
      <c r="F1148">
        <v>421.44</v>
      </c>
      <c r="G1148" t="s">
        <v>2761</v>
      </c>
      <c r="H1148" s="3" t="s">
        <v>3069</v>
      </c>
      <c r="I1148" s="3" t="s">
        <v>3074</v>
      </c>
      <c r="J1148" t="s">
        <v>4221</v>
      </c>
      <c r="K1148">
        <v>5</v>
      </c>
      <c r="L1148" t="s">
        <v>4275</v>
      </c>
      <c r="M1148" s="3" t="s">
        <v>4278</v>
      </c>
      <c r="N1148">
        <v>2107.1999999999998</v>
      </c>
    </row>
    <row r="1149" spans="1:14" x14ac:dyDescent="0.35">
      <c r="A1149" t="s">
        <v>1161</v>
      </c>
      <c r="B1149" t="s">
        <v>4427</v>
      </c>
      <c r="C1149" t="s">
        <v>2350</v>
      </c>
      <c r="D1149" s="3" t="s">
        <v>2406</v>
      </c>
      <c r="E1149">
        <v>2</v>
      </c>
      <c r="F1149">
        <v>588.29999999999995</v>
      </c>
      <c r="G1149" t="s">
        <v>3044</v>
      </c>
      <c r="H1149" s="3" t="s">
        <v>3066</v>
      </c>
      <c r="I1149" s="3" t="s">
        <v>3074</v>
      </c>
      <c r="J1149" t="s">
        <v>4222</v>
      </c>
      <c r="K1149">
        <v>2</v>
      </c>
      <c r="L1149" t="s">
        <v>4276</v>
      </c>
      <c r="M1149" s="3" t="s">
        <v>4280</v>
      </c>
      <c r="N1149">
        <v>1176.5999999999999</v>
      </c>
    </row>
    <row r="1150" spans="1:14" x14ac:dyDescent="0.35">
      <c r="A1150" t="s">
        <v>1162</v>
      </c>
      <c r="B1150" t="s">
        <v>4895</v>
      </c>
      <c r="C1150" t="s">
        <v>2351</v>
      </c>
      <c r="D1150" s="3" t="s">
        <v>2404</v>
      </c>
      <c r="E1150">
        <v>1</v>
      </c>
      <c r="F1150">
        <v>355.15</v>
      </c>
      <c r="G1150" t="s">
        <v>3045</v>
      </c>
      <c r="H1150" s="3" t="s">
        <v>3069</v>
      </c>
      <c r="I1150" s="3" t="s">
        <v>3072</v>
      </c>
      <c r="J1150" t="s">
        <v>4223</v>
      </c>
      <c r="K1150">
        <v>2</v>
      </c>
      <c r="L1150" t="s">
        <v>4275</v>
      </c>
      <c r="M1150" s="3" t="s">
        <v>4280</v>
      </c>
      <c r="N1150">
        <v>355.15</v>
      </c>
    </row>
    <row r="1151" spans="1:14" x14ac:dyDescent="0.35">
      <c r="A1151" t="s">
        <v>1163</v>
      </c>
      <c r="B1151" t="s">
        <v>4852</v>
      </c>
      <c r="C1151" t="s">
        <v>2352</v>
      </c>
      <c r="D1151" s="3" t="s">
        <v>2406</v>
      </c>
      <c r="E1151">
        <v>2</v>
      </c>
      <c r="F1151">
        <v>695.29</v>
      </c>
      <c r="G1151" t="s">
        <v>3046</v>
      </c>
      <c r="H1151" s="3" t="s">
        <v>3067</v>
      </c>
      <c r="I1151" s="3" t="s">
        <v>3074</v>
      </c>
      <c r="J1151" t="s">
        <v>4224</v>
      </c>
      <c r="K1151">
        <v>6</v>
      </c>
      <c r="L1151" t="s">
        <v>4276</v>
      </c>
      <c r="M1151" s="3" t="s">
        <v>4278</v>
      </c>
      <c r="N1151">
        <v>1390.58</v>
      </c>
    </row>
    <row r="1152" spans="1:14" x14ac:dyDescent="0.35">
      <c r="A1152" t="s">
        <v>1164</v>
      </c>
      <c r="B1152" t="s">
        <v>4499</v>
      </c>
      <c r="C1152" t="s">
        <v>2353</v>
      </c>
      <c r="D1152" s="3" t="s">
        <v>2409</v>
      </c>
      <c r="E1152">
        <v>4</v>
      </c>
      <c r="F1152">
        <v>302.64999999999998</v>
      </c>
      <c r="G1152" t="s">
        <v>2642</v>
      </c>
      <c r="H1152" s="3" t="s">
        <v>3067</v>
      </c>
      <c r="I1152" s="3" t="s">
        <v>3071</v>
      </c>
      <c r="J1152" t="s">
        <v>4225</v>
      </c>
      <c r="K1152">
        <v>8</v>
      </c>
      <c r="L1152" t="s">
        <v>4275</v>
      </c>
      <c r="M1152" s="3" t="s">
        <v>4279</v>
      </c>
      <c r="N1152">
        <v>1210.5999999999999</v>
      </c>
    </row>
    <row r="1153" spans="1:14" x14ac:dyDescent="0.35">
      <c r="A1153" t="s">
        <v>1165</v>
      </c>
      <c r="B1153" t="s">
        <v>4306</v>
      </c>
      <c r="C1153" t="s">
        <v>2354</v>
      </c>
      <c r="D1153" s="3" t="s">
        <v>2406</v>
      </c>
      <c r="E1153">
        <v>2</v>
      </c>
      <c r="F1153">
        <v>608.04</v>
      </c>
      <c r="G1153" t="s">
        <v>3047</v>
      </c>
      <c r="H1153" s="3" t="s">
        <v>3069</v>
      </c>
      <c r="I1153" s="3" t="s">
        <v>3071</v>
      </c>
      <c r="J1153" t="s">
        <v>4226</v>
      </c>
      <c r="K1153">
        <v>4</v>
      </c>
      <c r="L1153" t="s">
        <v>4292</v>
      </c>
      <c r="M1153" s="3" t="s">
        <v>4282</v>
      </c>
      <c r="N1153">
        <v>1216.08</v>
      </c>
    </row>
    <row r="1154" spans="1:14" x14ac:dyDescent="0.35">
      <c r="A1154" t="s">
        <v>1166</v>
      </c>
      <c r="B1154" t="s">
        <v>4860</v>
      </c>
      <c r="C1154" t="s">
        <v>2355</v>
      </c>
      <c r="D1154" s="3" t="s">
        <v>2405</v>
      </c>
      <c r="E1154">
        <v>2</v>
      </c>
      <c r="F1154">
        <v>344.18</v>
      </c>
      <c r="G1154" t="s">
        <v>2501</v>
      </c>
      <c r="H1154" s="3" t="s">
        <v>3067</v>
      </c>
      <c r="I1154" s="3" t="s">
        <v>3070</v>
      </c>
      <c r="J1154" t="s">
        <v>4227</v>
      </c>
      <c r="K1154">
        <v>7</v>
      </c>
      <c r="L1154" t="s">
        <v>4292</v>
      </c>
      <c r="M1154" s="3" t="s">
        <v>4279</v>
      </c>
      <c r="N1154">
        <v>688.36</v>
      </c>
    </row>
    <row r="1155" spans="1:14" x14ac:dyDescent="0.35">
      <c r="A1155" t="s">
        <v>1167</v>
      </c>
      <c r="B1155" t="s">
        <v>4677</v>
      </c>
      <c r="C1155" t="s">
        <v>2356</v>
      </c>
      <c r="D1155" s="3" t="s">
        <v>2403</v>
      </c>
      <c r="E1155">
        <v>4</v>
      </c>
      <c r="F1155">
        <v>696.71</v>
      </c>
      <c r="G1155" t="s">
        <v>3048</v>
      </c>
      <c r="H1155" s="3" t="s">
        <v>3065</v>
      </c>
      <c r="I1155" s="3" t="s">
        <v>3070</v>
      </c>
      <c r="J1155" t="s">
        <v>4228</v>
      </c>
      <c r="K1155">
        <v>4</v>
      </c>
      <c r="L1155" t="s">
        <v>4292</v>
      </c>
      <c r="M1155" s="3" t="s">
        <v>4278</v>
      </c>
      <c r="N1155">
        <v>2786.84</v>
      </c>
    </row>
    <row r="1156" spans="1:14" x14ac:dyDescent="0.35">
      <c r="A1156" t="s">
        <v>1168</v>
      </c>
      <c r="B1156" t="s">
        <v>4397</v>
      </c>
      <c r="C1156" t="s">
        <v>2357</v>
      </c>
      <c r="D1156" s="3" t="s">
        <v>2403</v>
      </c>
      <c r="E1156">
        <v>3</v>
      </c>
      <c r="F1156">
        <v>198.63</v>
      </c>
      <c r="G1156" t="s">
        <v>2520</v>
      </c>
      <c r="H1156" s="3" t="s">
        <v>3069</v>
      </c>
      <c r="I1156" s="3" t="s">
        <v>3074</v>
      </c>
      <c r="J1156" t="s">
        <v>4229</v>
      </c>
      <c r="K1156">
        <v>8</v>
      </c>
      <c r="L1156" t="s">
        <v>4275</v>
      </c>
      <c r="M1156" s="3" t="s">
        <v>4278</v>
      </c>
      <c r="N1156">
        <v>595.89</v>
      </c>
    </row>
    <row r="1157" spans="1:14" x14ac:dyDescent="0.35">
      <c r="A1157" t="s">
        <v>1169</v>
      </c>
      <c r="B1157" t="s">
        <v>4624</v>
      </c>
      <c r="C1157" t="s">
        <v>2358</v>
      </c>
      <c r="D1157" s="3" t="s">
        <v>2407</v>
      </c>
      <c r="E1157">
        <v>4</v>
      </c>
      <c r="F1157">
        <v>534.57000000000005</v>
      </c>
      <c r="G1157" t="s">
        <v>2558</v>
      </c>
      <c r="H1157" s="3" t="s">
        <v>3067</v>
      </c>
      <c r="I1157" s="3" t="s">
        <v>3073</v>
      </c>
      <c r="J1157" t="s">
        <v>4230</v>
      </c>
      <c r="K1157">
        <v>6</v>
      </c>
      <c r="L1157" t="s">
        <v>4276</v>
      </c>
      <c r="M1157" s="3" t="s">
        <v>4281</v>
      </c>
      <c r="N1157">
        <v>2138.2800000000002</v>
      </c>
    </row>
    <row r="1158" spans="1:14" x14ac:dyDescent="0.35">
      <c r="A1158" t="s">
        <v>1170</v>
      </c>
      <c r="B1158" t="s">
        <v>4329</v>
      </c>
      <c r="C1158" t="s">
        <v>2359</v>
      </c>
      <c r="D1158" s="3" t="s">
        <v>2408</v>
      </c>
      <c r="E1158">
        <v>4</v>
      </c>
      <c r="F1158">
        <v>690.78</v>
      </c>
      <c r="G1158" t="s">
        <v>2424</v>
      </c>
      <c r="H1158" s="3" t="s">
        <v>3067</v>
      </c>
      <c r="I1158" s="3" t="s">
        <v>3070</v>
      </c>
      <c r="J1158" t="s">
        <v>4231</v>
      </c>
      <c r="K1158">
        <v>9</v>
      </c>
      <c r="L1158" t="s">
        <v>4292</v>
      </c>
      <c r="M1158" s="3" t="s">
        <v>4279</v>
      </c>
      <c r="N1158">
        <v>2763.12</v>
      </c>
    </row>
    <row r="1159" spans="1:14" x14ac:dyDescent="0.35">
      <c r="A1159" t="s">
        <v>1171</v>
      </c>
      <c r="B1159" t="s">
        <v>4666</v>
      </c>
      <c r="C1159" t="s">
        <v>2360</v>
      </c>
      <c r="D1159" s="3" t="s">
        <v>2403</v>
      </c>
      <c r="E1159">
        <v>3</v>
      </c>
      <c r="F1159">
        <v>301.55</v>
      </c>
      <c r="G1159" t="s">
        <v>2605</v>
      </c>
      <c r="H1159" s="3" t="s">
        <v>3065</v>
      </c>
      <c r="I1159" s="3" t="s">
        <v>3073</v>
      </c>
      <c r="J1159" t="s">
        <v>4232</v>
      </c>
      <c r="K1159">
        <v>5</v>
      </c>
      <c r="L1159" t="s">
        <v>4276</v>
      </c>
      <c r="M1159" s="3" t="s">
        <v>4282</v>
      </c>
      <c r="N1159">
        <v>904.65</v>
      </c>
    </row>
    <row r="1160" spans="1:14" x14ac:dyDescent="0.35">
      <c r="A1160" t="s">
        <v>1172</v>
      </c>
      <c r="B1160" t="s">
        <v>4481</v>
      </c>
      <c r="C1160" t="s">
        <v>2361</v>
      </c>
      <c r="D1160" s="3" t="s">
        <v>2403</v>
      </c>
      <c r="E1160">
        <v>4</v>
      </c>
      <c r="F1160">
        <v>27.42</v>
      </c>
      <c r="G1160" t="s">
        <v>2755</v>
      </c>
      <c r="H1160" s="3" t="s">
        <v>3065</v>
      </c>
      <c r="I1160" s="3" t="s">
        <v>3074</v>
      </c>
      <c r="J1160" t="s">
        <v>4233</v>
      </c>
      <c r="K1160">
        <v>4</v>
      </c>
      <c r="L1160" t="s">
        <v>4275</v>
      </c>
      <c r="M1160" s="3" t="s">
        <v>4279</v>
      </c>
      <c r="N1160">
        <v>109.68</v>
      </c>
    </row>
    <row r="1161" spans="1:14" x14ac:dyDescent="0.35">
      <c r="A1161" t="s">
        <v>1173</v>
      </c>
      <c r="B1161" t="s">
        <v>4487</v>
      </c>
      <c r="C1161" t="s">
        <v>2362</v>
      </c>
      <c r="D1161" s="3" t="s">
        <v>2409</v>
      </c>
      <c r="E1161">
        <v>4</v>
      </c>
      <c r="F1161">
        <v>466.7</v>
      </c>
      <c r="G1161" t="s">
        <v>2766</v>
      </c>
      <c r="H1161" s="3" t="s">
        <v>3065</v>
      </c>
      <c r="I1161" s="3" t="s">
        <v>3072</v>
      </c>
      <c r="J1161" t="s">
        <v>4234</v>
      </c>
      <c r="K1161">
        <v>8</v>
      </c>
      <c r="L1161" t="s">
        <v>4292</v>
      </c>
      <c r="M1161" s="3" t="s">
        <v>4278</v>
      </c>
      <c r="N1161">
        <v>1866.8</v>
      </c>
    </row>
    <row r="1162" spans="1:14" x14ac:dyDescent="0.35">
      <c r="A1162" t="s">
        <v>1174</v>
      </c>
      <c r="B1162" t="s">
        <v>4617</v>
      </c>
      <c r="C1162" t="s">
        <v>2363</v>
      </c>
      <c r="D1162" s="3" t="s">
        <v>2409</v>
      </c>
      <c r="E1162">
        <v>1</v>
      </c>
      <c r="F1162">
        <v>541.64</v>
      </c>
      <c r="G1162" t="s">
        <v>2777</v>
      </c>
      <c r="H1162" s="3" t="s">
        <v>3065</v>
      </c>
      <c r="I1162" s="3" t="s">
        <v>3070</v>
      </c>
      <c r="J1162" t="s">
        <v>4235</v>
      </c>
      <c r="K1162">
        <v>5</v>
      </c>
      <c r="L1162" t="s">
        <v>4275</v>
      </c>
      <c r="M1162" s="3" t="s">
        <v>4280</v>
      </c>
      <c r="N1162">
        <v>541.64</v>
      </c>
    </row>
    <row r="1163" spans="1:14" x14ac:dyDescent="0.35">
      <c r="A1163" t="s">
        <v>1175</v>
      </c>
      <c r="B1163" t="s">
        <v>4788</v>
      </c>
      <c r="C1163" t="s">
        <v>2364</v>
      </c>
      <c r="D1163" s="3" t="s">
        <v>2404</v>
      </c>
      <c r="E1163">
        <v>1</v>
      </c>
      <c r="F1163">
        <v>11.39</v>
      </c>
      <c r="G1163" t="s">
        <v>2693</v>
      </c>
      <c r="H1163" s="3" t="s">
        <v>3069</v>
      </c>
      <c r="I1163" s="3" t="s">
        <v>3071</v>
      </c>
      <c r="J1163" t="s">
        <v>4236</v>
      </c>
      <c r="K1163">
        <v>6</v>
      </c>
      <c r="L1163" t="s">
        <v>4277</v>
      </c>
      <c r="M1163" s="3" t="s">
        <v>4280</v>
      </c>
      <c r="N1163">
        <v>11.39</v>
      </c>
    </row>
    <row r="1164" spans="1:14" x14ac:dyDescent="0.35">
      <c r="A1164" t="s">
        <v>1176</v>
      </c>
      <c r="B1164" t="s">
        <v>4944</v>
      </c>
      <c r="C1164" t="s">
        <v>2365</v>
      </c>
      <c r="D1164" s="3" t="s">
        <v>2404</v>
      </c>
      <c r="E1164">
        <v>2</v>
      </c>
      <c r="F1164">
        <v>224.37</v>
      </c>
      <c r="G1164" t="s">
        <v>3049</v>
      </c>
      <c r="H1164" s="3" t="s">
        <v>3065</v>
      </c>
      <c r="I1164" s="3" t="s">
        <v>3073</v>
      </c>
      <c r="J1164" t="s">
        <v>4237</v>
      </c>
      <c r="K1164">
        <v>3</v>
      </c>
      <c r="L1164" t="s">
        <v>4277</v>
      </c>
      <c r="M1164" s="3" t="s">
        <v>4279</v>
      </c>
      <c r="N1164">
        <v>448.74</v>
      </c>
    </row>
    <row r="1165" spans="1:14" x14ac:dyDescent="0.35">
      <c r="A1165" t="s">
        <v>1177</v>
      </c>
      <c r="B1165" t="s">
        <v>4468</v>
      </c>
      <c r="C1165" t="s">
        <v>2366</v>
      </c>
      <c r="D1165" s="3" t="s">
        <v>2408</v>
      </c>
      <c r="E1165">
        <v>3</v>
      </c>
      <c r="F1165">
        <v>306.29000000000002</v>
      </c>
      <c r="G1165" t="s">
        <v>3050</v>
      </c>
      <c r="H1165" s="3" t="s">
        <v>3067</v>
      </c>
      <c r="I1165" s="3" t="s">
        <v>3072</v>
      </c>
      <c r="J1165" t="s">
        <v>4238</v>
      </c>
      <c r="K1165">
        <v>7</v>
      </c>
      <c r="L1165" t="s">
        <v>4277</v>
      </c>
      <c r="M1165" s="3" t="s">
        <v>4278</v>
      </c>
      <c r="N1165">
        <v>918.87</v>
      </c>
    </row>
    <row r="1166" spans="1:14" x14ac:dyDescent="0.35">
      <c r="A1166" t="s">
        <v>1178</v>
      </c>
      <c r="B1166" t="s">
        <v>4933</v>
      </c>
      <c r="C1166" t="s">
        <v>2367</v>
      </c>
      <c r="D1166" s="3" t="s">
        <v>2405</v>
      </c>
      <c r="E1166">
        <v>5</v>
      </c>
      <c r="F1166">
        <v>315.57</v>
      </c>
      <c r="G1166" t="s">
        <v>2826</v>
      </c>
      <c r="H1166" s="3" t="s">
        <v>3065</v>
      </c>
      <c r="I1166" s="3" t="s">
        <v>3073</v>
      </c>
      <c r="J1166" t="s">
        <v>4239</v>
      </c>
      <c r="K1166">
        <v>6</v>
      </c>
      <c r="L1166" t="s">
        <v>4277</v>
      </c>
      <c r="M1166" s="3" t="s">
        <v>4280</v>
      </c>
      <c r="N1166">
        <v>1577.85</v>
      </c>
    </row>
    <row r="1167" spans="1:14" x14ac:dyDescent="0.35">
      <c r="A1167" t="s">
        <v>1179</v>
      </c>
      <c r="B1167" t="s">
        <v>4612</v>
      </c>
      <c r="C1167" t="s">
        <v>2368</v>
      </c>
      <c r="D1167" s="3" t="s">
        <v>2406</v>
      </c>
      <c r="E1167">
        <v>3</v>
      </c>
      <c r="F1167">
        <v>223.79</v>
      </c>
      <c r="G1167" t="s">
        <v>3051</v>
      </c>
      <c r="H1167" s="3" t="s">
        <v>3065</v>
      </c>
      <c r="I1167" s="3" t="s">
        <v>3074</v>
      </c>
      <c r="J1167" t="s">
        <v>4240</v>
      </c>
      <c r="K1167">
        <v>3</v>
      </c>
      <c r="L1167" t="s">
        <v>4292</v>
      </c>
      <c r="M1167" s="3" t="s">
        <v>4282</v>
      </c>
      <c r="N1167">
        <v>671.37</v>
      </c>
    </row>
    <row r="1168" spans="1:14" x14ac:dyDescent="0.35">
      <c r="A1168" t="s">
        <v>1180</v>
      </c>
      <c r="B1168" t="s">
        <v>4332</v>
      </c>
      <c r="C1168" t="s">
        <v>2369</v>
      </c>
      <c r="D1168" s="3" t="s">
        <v>2406</v>
      </c>
      <c r="E1168">
        <v>3</v>
      </c>
      <c r="F1168">
        <v>324.47000000000003</v>
      </c>
      <c r="G1168" t="s">
        <v>2486</v>
      </c>
      <c r="H1168" s="3" t="s">
        <v>3069</v>
      </c>
      <c r="I1168" s="3" t="s">
        <v>3073</v>
      </c>
      <c r="J1168" t="s">
        <v>4241</v>
      </c>
      <c r="K1168">
        <v>4</v>
      </c>
      <c r="L1168" t="s">
        <v>4277</v>
      </c>
      <c r="M1168" s="3" t="s">
        <v>4280</v>
      </c>
      <c r="N1168">
        <v>973.41</v>
      </c>
    </row>
    <row r="1169" spans="1:14" x14ac:dyDescent="0.35">
      <c r="A1169" t="s">
        <v>1181</v>
      </c>
      <c r="B1169" t="s">
        <v>4945</v>
      </c>
      <c r="C1169" t="s">
        <v>2370</v>
      </c>
      <c r="D1169" s="3" t="s">
        <v>2407</v>
      </c>
      <c r="E1169">
        <v>2</v>
      </c>
      <c r="F1169">
        <v>92.87</v>
      </c>
      <c r="G1169" t="s">
        <v>2645</v>
      </c>
      <c r="H1169" s="3" t="s">
        <v>3067</v>
      </c>
      <c r="I1169" s="3" t="s">
        <v>3074</v>
      </c>
      <c r="J1169" t="s">
        <v>4242</v>
      </c>
      <c r="K1169">
        <v>5</v>
      </c>
      <c r="L1169" t="s">
        <v>4276</v>
      </c>
      <c r="M1169" s="3" t="s">
        <v>4281</v>
      </c>
      <c r="N1169">
        <v>185.74</v>
      </c>
    </row>
    <row r="1170" spans="1:14" x14ac:dyDescent="0.35">
      <c r="A1170" t="s">
        <v>1182</v>
      </c>
      <c r="B1170" t="s">
        <v>4789</v>
      </c>
      <c r="C1170" t="s">
        <v>2371</v>
      </c>
      <c r="D1170" s="3" t="s">
        <v>2408</v>
      </c>
      <c r="E1170">
        <v>2</v>
      </c>
      <c r="F1170">
        <v>331.42</v>
      </c>
      <c r="G1170" t="s">
        <v>3052</v>
      </c>
      <c r="H1170" s="3" t="s">
        <v>3067</v>
      </c>
      <c r="I1170" s="3" t="s">
        <v>3073</v>
      </c>
      <c r="J1170" t="s">
        <v>4243</v>
      </c>
      <c r="K1170">
        <v>6</v>
      </c>
      <c r="L1170" t="s">
        <v>4277</v>
      </c>
      <c r="M1170" s="3" t="s">
        <v>4282</v>
      </c>
      <c r="N1170">
        <v>662.84</v>
      </c>
    </row>
    <row r="1171" spans="1:14" x14ac:dyDescent="0.35">
      <c r="A1171" t="s">
        <v>1183</v>
      </c>
      <c r="B1171" t="s">
        <v>4946</v>
      </c>
      <c r="C1171" t="s">
        <v>2372</v>
      </c>
      <c r="D1171" s="3" t="s">
        <v>2406</v>
      </c>
      <c r="E1171">
        <v>1</v>
      </c>
      <c r="F1171">
        <v>525.42999999999995</v>
      </c>
      <c r="G1171" t="s">
        <v>3053</v>
      </c>
      <c r="H1171" s="3" t="s">
        <v>3069</v>
      </c>
      <c r="I1171" s="3" t="s">
        <v>3071</v>
      </c>
      <c r="J1171" t="s">
        <v>4244</v>
      </c>
      <c r="K1171">
        <v>2</v>
      </c>
      <c r="L1171" t="s">
        <v>4275</v>
      </c>
      <c r="M1171" s="3" t="s">
        <v>4278</v>
      </c>
      <c r="N1171">
        <v>525.42999999999995</v>
      </c>
    </row>
    <row r="1172" spans="1:14" x14ac:dyDescent="0.35">
      <c r="A1172" t="s">
        <v>1184</v>
      </c>
      <c r="B1172" t="s">
        <v>4851</v>
      </c>
      <c r="C1172" t="s">
        <v>2373</v>
      </c>
      <c r="D1172" s="3" t="s">
        <v>2407</v>
      </c>
      <c r="E1172">
        <v>2</v>
      </c>
      <c r="F1172">
        <v>697.19</v>
      </c>
      <c r="G1172" t="s">
        <v>2607</v>
      </c>
      <c r="H1172" s="3" t="s">
        <v>3069</v>
      </c>
      <c r="I1172" s="3" t="s">
        <v>3072</v>
      </c>
      <c r="J1172" t="s">
        <v>4245</v>
      </c>
      <c r="K1172">
        <v>7</v>
      </c>
      <c r="L1172" t="s">
        <v>4276</v>
      </c>
      <c r="M1172" s="3" t="s">
        <v>4280</v>
      </c>
      <c r="N1172">
        <v>1394.38</v>
      </c>
    </row>
    <row r="1173" spans="1:14" x14ac:dyDescent="0.35">
      <c r="A1173" t="s">
        <v>1185</v>
      </c>
      <c r="B1173" t="s">
        <v>4365</v>
      </c>
      <c r="C1173" t="s">
        <v>2374</v>
      </c>
      <c r="D1173" s="3" t="s">
        <v>2404</v>
      </c>
      <c r="E1173">
        <v>4</v>
      </c>
      <c r="F1173">
        <v>518.4</v>
      </c>
      <c r="G1173" t="s">
        <v>3054</v>
      </c>
      <c r="H1173" s="3" t="s">
        <v>3067</v>
      </c>
      <c r="I1173" s="3" t="s">
        <v>3073</v>
      </c>
      <c r="J1173" t="s">
        <v>4246</v>
      </c>
      <c r="K1173">
        <v>7</v>
      </c>
      <c r="L1173" t="s">
        <v>4275</v>
      </c>
      <c r="M1173" s="3" t="s">
        <v>4281</v>
      </c>
      <c r="N1173">
        <v>2073.6</v>
      </c>
    </row>
    <row r="1174" spans="1:14" x14ac:dyDescent="0.35">
      <c r="A1174" t="s">
        <v>1186</v>
      </c>
      <c r="B1174" t="s">
        <v>4780</v>
      </c>
      <c r="C1174" t="s">
        <v>2375</v>
      </c>
      <c r="D1174" s="3" t="s">
        <v>2409</v>
      </c>
      <c r="E1174">
        <v>3</v>
      </c>
      <c r="F1174">
        <v>131.96</v>
      </c>
      <c r="G1174" t="s">
        <v>2793</v>
      </c>
      <c r="H1174" s="3" t="s">
        <v>3067</v>
      </c>
      <c r="I1174" s="3" t="s">
        <v>3074</v>
      </c>
      <c r="J1174" t="s">
        <v>4247</v>
      </c>
      <c r="K1174">
        <v>8</v>
      </c>
      <c r="L1174" t="s">
        <v>4292</v>
      </c>
      <c r="M1174" s="3" t="s">
        <v>4278</v>
      </c>
      <c r="N1174">
        <v>395.88</v>
      </c>
    </row>
    <row r="1175" spans="1:14" x14ac:dyDescent="0.35">
      <c r="A1175" t="s">
        <v>1187</v>
      </c>
      <c r="B1175" t="s">
        <v>4733</v>
      </c>
      <c r="C1175" t="s">
        <v>2376</v>
      </c>
      <c r="D1175" s="3" t="s">
        <v>2403</v>
      </c>
      <c r="E1175">
        <v>1</v>
      </c>
      <c r="F1175">
        <v>208.36</v>
      </c>
      <c r="G1175" t="s">
        <v>2891</v>
      </c>
      <c r="H1175" s="3" t="s">
        <v>3066</v>
      </c>
      <c r="I1175" s="3" t="s">
        <v>3070</v>
      </c>
      <c r="J1175" t="s">
        <v>4248</v>
      </c>
      <c r="K1175">
        <v>4</v>
      </c>
      <c r="L1175" t="s">
        <v>4276</v>
      </c>
      <c r="M1175" s="3" t="s">
        <v>4280</v>
      </c>
      <c r="N1175">
        <v>208.36</v>
      </c>
    </row>
    <row r="1176" spans="1:14" x14ac:dyDescent="0.35">
      <c r="A1176" t="s">
        <v>1188</v>
      </c>
      <c r="B1176" t="s">
        <v>4394</v>
      </c>
      <c r="C1176" t="s">
        <v>2377</v>
      </c>
      <c r="D1176" s="3" t="s">
        <v>2407</v>
      </c>
      <c r="E1176">
        <v>3</v>
      </c>
      <c r="F1176">
        <v>222.34</v>
      </c>
      <c r="G1176" t="s">
        <v>3055</v>
      </c>
      <c r="H1176" s="3" t="s">
        <v>3067</v>
      </c>
      <c r="I1176" s="3" t="s">
        <v>3072</v>
      </c>
      <c r="J1176" t="s">
        <v>4249</v>
      </c>
      <c r="K1176">
        <v>5</v>
      </c>
      <c r="L1176" t="s">
        <v>4277</v>
      </c>
      <c r="M1176" s="3" t="s">
        <v>4280</v>
      </c>
      <c r="N1176">
        <v>667.02</v>
      </c>
    </row>
    <row r="1177" spans="1:14" x14ac:dyDescent="0.35">
      <c r="A1177" t="s">
        <v>1189</v>
      </c>
      <c r="B1177" t="s">
        <v>4947</v>
      </c>
      <c r="C1177" t="s">
        <v>2378</v>
      </c>
      <c r="D1177" s="3" t="s">
        <v>2407</v>
      </c>
      <c r="E1177">
        <v>3</v>
      </c>
      <c r="F1177">
        <v>91.74</v>
      </c>
      <c r="G1177" t="s">
        <v>2666</v>
      </c>
      <c r="H1177" s="3" t="s">
        <v>3065</v>
      </c>
      <c r="I1177" s="3" t="s">
        <v>3072</v>
      </c>
      <c r="J1177" t="s">
        <v>4250</v>
      </c>
      <c r="K1177">
        <v>8</v>
      </c>
      <c r="L1177" t="s">
        <v>4276</v>
      </c>
      <c r="M1177" s="3" t="s">
        <v>4279</v>
      </c>
      <c r="N1177">
        <v>275.22000000000003</v>
      </c>
    </row>
    <row r="1178" spans="1:14" x14ac:dyDescent="0.35">
      <c r="A1178" t="s">
        <v>1190</v>
      </c>
      <c r="B1178" t="s">
        <v>4624</v>
      </c>
      <c r="C1178" t="s">
        <v>2379</v>
      </c>
      <c r="D1178" s="3" t="s">
        <v>2405</v>
      </c>
      <c r="E1178">
        <v>2</v>
      </c>
      <c r="F1178">
        <v>213.83</v>
      </c>
      <c r="G1178" t="s">
        <v>3056</v>
      </c>
      <c r="H1178" s="3" t="s">
        <v>3065</v>
      </c>
      <c r="I1178" s="3" t="s">
        <v>3071</v>
      </c>
      <c r="J1178" t="s">
        <v>4251</v>
      </c>
      <c r="K1178">
        <v>2</v>
      </c>
      <c r="L1178" t="s">
        <v>4277</v>
      </c>
      <c r="M1178" s="3" t="s">
        <v>4280</v>
      </c>
      <c r="N1178">
        <v>427.66</v>
      </c>
    </row>
    <row r="1179" spans="1:14" x14ac:dyDescent="0.35">
      <c r="A1179" t="s">
        <v>1191</v>
      </c>
      <c r="B1179" t="s">
        <v>4948</v>
      </c>
      <c r="C1179" t="s">
        <v>2380</v>
      </c>
      <c r="D1179" s="3" t="s">
        <v>2407</v>
      </c>
      <c r="E1179">
        <v>1</v>
      </c>
      <c r="F1179">
        <v>127.55</v>
      </c>
      <c r="G1179" t="s">
        <v>2749</v>
      </c>
      <c r="H1179" s="3" t="s">
        <v>3069</v>
      </c>
      <c r="I1179" s="3" t="s">
        <v>3070</v>
      </c>
      <c r="J1179" t="s">
        <v>4252</v>
      </c>
      <c r="K1179">
        <v>3</v>
      </c>
      <c r="L1179" t="s">
        <v>4275</v>
      </c>
      <c r="M1179" s="3" t="s">
        <v>4279</v>
      </c>
      <c r="N1179">
        <v>127.55</v>
      </c>
    </row>
    <row r="1180" spans="1:14" x14ac:dyDescent="0.35">
      <c r="A1180" t="s">
        <v>1192</v>
      </c>
      <c r="B1180" t="s">
        <v>4334</v>
      </c>
      <c r="C1180" t="s">
        <v>2381</v>
      </c>
      <c r="D1180" s="3" t="s">
        <v>2403</v>
      </c>
      <c r="E1180">
        <v>1</v>
      </c>
      <c r="F1180">
        <v>70.239999999999995</v>
      </c>
      <c r="G1180" t="s">
        <v>2616</v>
      </c>
      <c r="H1180" s="3" t="s">
        <v>3067</v>
      </c>
      <c r="I1180" s="3" t="s">
        <v>3071</v>
      </c>
      <c r="J1180" t="s">
        <v>4253</v>
      </c>
      <c r="K1180">
        <v>4</v>
      </c>
      <c r="L1180" t="s">
        <v>4276</v>
      </c>
      <c r="M1180" s="3" t="s">
        <v>4282</v>
      </c>
      <c r="N1180">
        <v>70.239999999999995</v>
      </c>
    </row>
    <row r="1181" spans="1:14" x14ac:dyDescent="0.35">
      <c r="A1181" t="s">
        <v>1193</v>
      </c>
      <c r="B1181" t="s">
        <v>4408</v>
      </c>
      <c r="C1181" t="s">
        <v>2382</v>
      </c>
      <c r="D1181" s="3" t="s">
        <v>2408</v>
      </c>
      <c r="E1181">
        <v>5</v>
      </c>
      <c r="F1181">
        <v>518.54999999999995</v>
      </c>
      <c r="G1181" t="s">
        <v>2709</v>
      </c>
      <c r="H1181" s="3" t="s">
        <v>3067</v>
      </c>
      <c r="I1181" s="3" t="s">
        <v>3071</v>
      </c>
      <c r="J1181" t="s">
        <v>4254</v>
      </c>
      <c r="K1181">
        <v>6</v>
      </c>
      <c r="L1181" t="s">
        <v>4277</v>
      </c>
      <c r="M1181" s="3" t="s">
        <v>4278</v>
      </c>
      <c r="N1181">
        <v>2592.75</v>
      </c>
    </row>
    <row r="1182" spans="1:14" x14ac:dyDescent="0.35">
      <c r="A1182" t="s">
        <v>1194</v>
      </c>
      <c r="B1182" t="s">
        <v>4434</v>
      </c>
      <c r="C1182" t="s">
        <v>2383</v>
      </c>
      <c r="D1182" s="3" t="s">
        <v>2406</v>
      </c>
      <c r="E1182">
        <v>4</v>
      </c>
      <c r="F1182">
        <v>298.36</v>
      </c>
      <c r="G1182" t="s">
        <v>2805</v>
      </c>
      <c r="H1182" s="3" t="s">
        <v>3065</v>
      </c>
      <c r="I1182" s="3" t="s">
        <v>3074</v>
      </c>
      <c r="J1182" t="s">
        <v>4255</v>
      </c>
      <c r="K1182">
        <v>8</v>
      </c>
      <c r="L1182" t="s">
        <v>4276</v>
      </c>
      <c r="M1182" s="3" t="s">
        <v>4282</v>
      </c>
      <c r="N1182">
        <v>1193.44</v>
      </c>
    </row>
    <row r="1183" spans="1:14" x14ac:dyDescent="0.35">
      <c r="A1183" t="s">
        <v>1195</v>
      </c>
      <c r="B1183" t="s">
        <v>4436</v>
      </c>
      <c r="C1183" t="s">
        <v>2384</v>
      </c>
      <c r="D1183" s="3" t="s">
        <v>2409</v>
      </c>
      <c r="E1183">
        <v>3</v>
      </c>
      <c r="F1183">
        <v>158.74</v>
      </c>
      <c r="G1183" t="s">
        <v>2694</v>
      </c>
      <c r="H1183" s="3" t="s">
        <v>3066</v>
      </c>
      <c r="I1183" s="3" t="s">
        <v>3074</v>
      </c>
      <c r="J1183" t="s">
        <v>4256</v>
      </c>
      <c r="K1183">
        <v>7</v>
      </c>
      <c r="L1183" t="s">
        <v>4276</v>
      </c>
      <c r="M1183" s="3" t="s">
        <v>4278</v>
      </c>
      <c r="N1183">
        <v>476.22</v>
      </c>
    </row>
    <row r="1184" spans="1:14" x14ac:dyDescent="0.35">
      <c r="A1184" t="s">
        <v>1196</v>
      </c>
      <c r="B1184" t="s">
        <v>4838</v>
      </c>
      <c r="C1184" t="s">
        <v>2385</v>
      </c>
      <c r="D1184" s="3" t="s">
        <v>2406</v>
      </c>
      <c r="E1184">
        <v>2</v>
      </c>
      <c r="F1184">
        <v>420.29</v>
      </c>
      <c r="G1184" t="s">
        <v>2835</v>
      </c>
      <c r="H1184" s="3" t="s">
        <v>3068</v>
      </c>
      <c r="I1184" s="3" t="s">
        <v>3072</v>
      </c>
      <c r="J1184" t="s">
        <v>4257</v>
      </c>
      <c r="K1184">
        <v>3</v>
      </c>
      <c r="L1184" t="s">
        <v>4275</v>
      </c>
      <c r="M1184" s="3" t="s">
        <v>4282</v>
      </c>
      <c r="N1184">
        <v>840.58</v>
      </c>
    </row>
    <row r="1185" spans="1:14" x14ac:dyDescent="0.35">
      <c r="A1185" t="s">
        <v>1197</v>
      </c>
      <c r="B1185" t="s">
        <v>4512</v>
      </c>
      <c r="C1185" t="s">
        <v>2386</v>
      </c>
      <c r="D1185" s="3" t="s">
        <v>2409</v>
      </c>
      <c r="E1185">
        <v>1</v>
      </c>
      <c r="F1185">
        <v>281.52</v>
      </c>
      <c r="G1185" t="s">
        <v>2633</v>
      </c>
      <c r="H1185" s="3" t="s">
        <v>3068</v>
      </c>
      <c r="I1185" s="3" t="s">
        <v>3070</v>
      </c>
      <c r="J1185" t="s">
        <v>4258</v>
      </c>
      <c r="K1185">
        <v>6</v>
      </c>
      <c r="L1185" t="s">
        <v>4277</v>
      </c>
      <c r="M1185" s="3" t="s">
        <v>4279</v>
      </c>
      <c r="N1185">
        <v>281.52</v>
      </c>
    </row>
    <row r="1186" spans="1:14" x14ac:dyDescent="0.35">
      <c r="A1186" t="s">
        <v>1198</v>
      </c>
      <c r="B1186" t="s">
        <v>4894</v>
      </c>
      <c r="C1186" t="s">
        <v>2387</v>
      </c>
      <c r="D1186" s="3" t="s">
        <v>2408</v>
      </c>
      <c r="E1186">
        <v>1</v>
      </c>
      <c r="F1186">
        <v>204.08</v>
      </c>
      <c r="G1186" t="s">
        <v>2938</v>
      </c>
      <c r="H1186" s="3" t="s">
        <v>3068</v>
      </c>
      <c r="I1186" s="3" t="s">
        <v>3072</v>
      </c>
      <c r="J1186" t="s">
        <v>4259</v>
      </c>
      <c r="K1186">
        <v>4</v>
      </c>
      <c r="L1186" t="s">
        <v>4292</v>
      </c>
      <c r="M1186" s="3" t="s">
        <v>4282</v>
      </c>
      <c r="N1186">
        <v>204.08</v>
      </c>
    </row>
    <row r="1187" spans="1:14" x14ac:dyDescent="0.35">
      <c r="A1187" t="s">
        <v>1199</v>
      </c>
      <c r="B1187" t="s">
        <v>4949</v>
      </c>
      <c r="C1187" t="s">
        <v>2388</v>
      </c>
      <c r="D1187" s="3" t="s">
        <v>2406</v>
      </c>
      <c r="E1187">
        <v>1</v>
      </c>
      <c r="F1187">
        <v>343.31</v>
      </c>
      <c r="G1187" t="s">
        <v>3057</v>
      </c>
      <c r="H1187" s="3" t="s">
        <v>3068</v>
      </c>
      <c r="I1187" s="3" t="s">
        <v>3072</v>
      </c>
      <c r="J1187" t="s">
        <v>4260</v>
      </c>
      <c r="K1187">
        <v>6</v>
      </c>
      <c r="L1187" t="s">
        <v>4275</v>
      </c>
      <c r="M1187" s="3" t="s">
        <v>4282</v>
      </c>
      <c r="N1187">
        <v>343.31</v>
      </c>
    </row>
    <row r="1188" spans="1:14" x14ac:dyDescent="0.35">
      <c r="A1188" t="s">
        <v>1200</v>
      </c>
      <c r="B1188" t="s">
        <v>4418</v>
      </c>
      <c r="C1188" t="s">
        <v>2389</v>
      </c>
      <c r="D1188" s="3" t="s">
        <v>2403</v>
      </c>
      <c r="E1188">
        <v>1</v>
      </c>
      <c r="F1188">
        <v>163.32</v>
      </c>
      <c r="G1188" t="s">
        <v>3058</v>
      </c>
      <c r="H1188" s="3" t="s">
        <v>3069</v>
      </c>
      <c r="I1188" s="3" t="s">
        <v>3070</v>
      </c>
      <c r="J1188" t="s">
        <v>4261</v>
      </c>
      <c r="K1188">
        <v>6</v>
      </c>
      <c r="L1188" t="s">
        <v>4277</v>
      </c>
      <c r="M1188" s="3" t="s">
        <v>4281</v>
      </c>
      <c r="N1188">
        <v>163.32</v>
      </c>
    </row>
    <row r="1189" spans="1:14" x14ac:dyDescent="0.35">
      <c r="A1189" t="s">
        <v>1201</v>
      </c>
      <c r="B1189" t="s">
        <v>4490</v>
      </c>
      <c r="C1189" t="s">
        <v>2390</v>
      </c>
      <c r="D1189" s="3" t="s">
        <v>2409</v>
      </c>
      <c r="E1189">
        <v>2</v>
      </c>
      <c r="F1189">
        <v>184.6</v>
      </c>
      <c r="G1189" t="s">
        <v>2613</v>
      </c>
      <c r="H1189" s="3" t="s">
        <v>3068</v>
      </c>
      <c r="I1189" s="3" t="s">
        <v>3073</v>
      </c>
      <c r="J1189" t="s">
        <v>4262</v>
      </c>
      <c r="K1189">
        <v>7</v>
      </c>
      <c r="L1189" t="s">
        <v>4277</v>
      </c>
      <c r="M1189" s="3" t="s">
        <v>4280</v>
      </c>
      <c r="N1189">
        <v>369.2</v>
      </c>
    </row>
    <row r="1190" spans="1:14" x14ac:dyDescent="0.35">
      <c r="A1190" t="s">
        <v>1202</v>
      </c>
      <c r="B1190" t="s">
        <v>4331</v>
      </c>
      <c r="C1190" t="s">
        <v>2391</v>
      </c>
      <c r="D1190" s="3" t="s">
        <v>2407</v>
      </c>
      <c r="E1190">
        <v>2</v>
      </c>
      <c r="F1190">
        <v>371.29</v>
      </c>
      <c r="G1190" t="s">
        <v>3059</v>
      </c>
      <c r="H1190" s="3" t="s">
        <v>3068</v>
      </c>
      <c r="I1190" s="3" t="s">
        <v>3070</v>
      </c>
      <c r="J1190" t="s">
        <v>4263</v>
      </c>
      <c r="K1190">
        <v>5</v>
      </c>
      <c r="L1190" t="s">
        <v>4277</v>
      </c>
      <c r="M1190" s="3" t="s">
        <v>4281</v>
      </c>
      <c r="N1190">
        <v>742.58</v>
      </c>
    </row>
    <row r="1191" spans="1:14" x14ac:dyDescent="0.35">
      <c r="A1191" t="s">
        <v>1203</v>
      </c>
      <c r="B1191" t="s">
        <v>4950</v>
      </c>
      <c r="C1191" t="s">
        <v>2392</v>
      </c>
      <c r="D1191" s="3" t="s">
        <v>2405</v>
      </c>
      <c r="E1191">
        <v>5</v>
      </c>
      <c r="F1191">
        <v>389.22</v>
      </c>
      <c r="G1191" t="s">
        <v>3060</v>
      </c>
      <c r="H1191" s="3" t="s">
        <v>3069</v>
      </c>
      <c r="I1191" s="3" t="s">
        <v>3071</v>
      </c>
      <c r="J1191" t="s">
        <v>4264</v>
      </c>
      <c r="K1191">
        <v>7</v>
      </c>
      <c r="L1191" t="s">
        <v>4292</v>
      </c>
      <c r="M1191" s="3" t="s">
        <v>4279</v>
      </c>
      <c r="N1191">
        <v>1946.1</v>
      </c>
    </row>
    <row r="1192" spans="1:14" x14ac:dyDescent="0.35">
      <c r="A1192" t="s">
        <v>1204</v>
      </c>
      <c r="B1192" t="s">
        <v>4931</v>
      </c>
      <c r="C1192" t="s">
        <v>2393</v>
      </c>
      <c r="D1192" s="3" t="s">
        <v>2409</v>
      </c>
      <c r="E1192">
        <v>3</v>
      </c>
      <c r="F1192">
        <v>616.39</v>
      </c>
      <c r="G1192" t="s">
        <v>3061</v>
      </c>
      <c r="H1192" s="3" t="s">
        <v>3067</v>
      </c>
      <c r="I1192" s="3" t="s">
        <v>3070</v>
      </c>
      <c r="J1192" t="s">
        <v>4265</v>
      </c>
      <c r="K1192">
        <v>6</v>
      </c>
      <c r="L1192" t="s">
        <v>4276</v>
      </c>
      <c r="M1192" s="3" t="s">
        <v>4278</v>
      </c>
      <c r="N1192">
        <v>1849.17</v>
      </c>
    </row>
    <row r="1193" spans="1:14" x14ac:dyDescent="0.35">
      <c r="A1193" t="s">
        <v>1205</v>
      </c>
      <c r="B1193" t="s">
        <v>4725</v>
      </c>
      <c r="C1193" t="s">
        <v>2394</v>
      </c>
      <c r="D1193" s="3" t="s">
        <v>2409</v>
      </c>
      <c r="E1193">
        <v>4</v>
      </c>
      <c r="F1193">
        <v>376.43</v>
      </c>
      <c r="G1193" t="s">
        <v>2841</v>
      </c>
      <c r="H1193" s="3" t="s">
        <v>3068</v>
      </c>
      <c r="I1193" s="3" t="s">
        <v>3074</v>
      </c>
      <c r="J1193" t="s">
        <v>4266</v>
      </c>
      <c r="K1193">
        <v>5</v>
      </c>
      <c r="L1193" t="s">
        <v>4277</v>
      </c>
      <c r="M1193" s="3" t="s">
        <v>4278</v>
      </c>
      <c r="N1193">
        <v>1505.72</v>
      </c>
    </row>
    <row r="1194" spans="1:14" x14ac:dyDescent="0.35">
      <c r="A1194" t="s">
        <v>1206</v>
      </c>
      <c r="B1194" t="s">
        <v>4613</v>
      </c>
      <c r="C1194" t="s">
        <v>2395</v>
      </c>
      <c r="D1194" s="3" t="s">
        <v>2406</v>
      </c>
      <c r="E1194">
        <v>3</v>
      </c>
      <c r="F1194">
        <v>432.85</v>
      </c>
      <c r="G1194" t="s">
        <v>2593</v>
      </c>
      <c r="H1194" s="3" t="s">
        <v>3066</v>
      </c>
      <c r="I1194" s="3" t="s">
        <v>3074</v>
      </c>
      <c r="J1194" t="s">
        <v>4267</v>
      </c>
      <c r="K1194">
        <v>4</v>
      </c>
      <c r="L1194" t="s">
        <v>4292</v>
      </c>
      <c r="M1194" s="3" t="s">
        <v>4278</v>
      </c>
      <c r="N1194">
        <v>1298.55</v>
      </c>
    </row>
    <row r="1195" spans="1:14" x14ac:dyDescent="0.35">
      <c r="A1195" t="s">
        <v>1207</v>
      </c>
      <c r="B1195" t="s">
        <v>4951</v>
      </c>
      <c r="C1195" t="s">
        <v>2396</v>
      </c>
      <c r="D1195" s="3" t="s">
        <v>2405</v>
      </c>
      <c r="E1195">
        <v>1</v>
      </c>
      <c r="F1195">
        <v>687.89</v>
      </c>
      <c r="G1195" t="s">
        <v>2481</v>
      </c>
      <c r="H1195" s="3" t="s">
        <v>3069</v>
      </c>
      <c r="I1195" s="3" t="s">
        <v>3072</v>
      </c>
      <c r="J1195" t="s">
        <v>4268</v>
      </c>
      <c r="K1195">
        <v>1</v>
      </c>
      <c r="L1195" t="s">
        <v>4276</v>
      </c>
      <c r="M1195" s="3" t="s">
        <v>4280</v>
      </c>
      <c r="N1195">
        <v>687.89</v>
      </c>
    </row>
    <row r="1196" spans="1:14" x14ac:dyDescent="0.35">
      <c r="A1196" t="s">
        <v>1208</v>
      </c>
      <c r="B1196" t="s">
        <v>4898</v>
      </c>
      <c r="C1196" t="s">
        <v>2397</v>
      </c>
      <c r="D1196" s="3" t="s">
        <v>2407</v>
      </c>
      <c r="E1196">
        <v>3</v>
      </c>
      <c r="F1196">
        <v>189.44</v>
      </c>
      <c r="G1196" t="s">
        <v>2582</v>
      </c>
      <c r="H1196" s="3" t="s">
        <v>3069</v>
      </c>
      <c r="I1196" s="3" t="s">
        <v>3074</v>
      </c>
      <c r="J1196" t="s">
        <v>4269</v>
      </c>
      <c r="K1196">
        <v>4</v>
      </c>
      <c r="L1196" t="s">
        <v>4276</v>
      </c>
      <c r="M1196" s="3" t="s">
        <v>4280</v>
      </c>
      <c r="N1196">
        <v>568.32000000000005</v>
      </c>
    </row>
    <row r="1197" spans="1:14" x14ac:dyDescent="0.35">
      <c r="A1197" t="s">
        <v>1209</v>
      </c>
      <c r="B1197" t="s">
        <v>4927</v>
      </c>
      <c r="C1197" t="s">
        <v>2398</v>
      </c>
      <c r="D1197" s="3" t="s">
        <v>2409</v>
      </c>
      <c r="E1197">
        <v>1</v>
      </c>
      <c r="F1197">
        <v>107.04</v>
      </c>
      <c r="G1197" t="s">
        <v>3062</v>
      </c>
      <c r="H1197" s="3" t="s">
        <v>3067</v>
      </c>
      <c r="I1197" s="3" t="s">
        <v>3071</v>
      </c>
      <c r="J1197" t="s">
        <v>4270</v>
      </c>
      <c r="K1197">
        <v>6</v>
      </c>
      <c r="L1197" t="s">
        <v>4276</v>
      </c>
      <c r="M1197" s="3" t="s">
        <v>4282</v>
      </c>
      <c r="N1197">
        <v>107.04</v>
      </c>
    </row>
    <row r="1198" spans="1:14" x14ac:dyDescent="0.35">
      <c r="A1198" t="s">
        <v>1210</v>
      </c>
      <c r="B1198" t="s">
        <v>4952</v>
      </c>
      <c r="C1198" t="s">
        <v>2399</v>
      </c>
      <c r="D1198" s="3" t="s">
        <v>2403</v>
      </c>
      <c r="E1198">
        <v>2</v>
      </c>
      <c r="F1198">
        <v>662.53</v>
      </c>
      <c r="G1198" t="s">
        <v>2730</v>
      </c>
      <c r="H1198" s="3" t="s">
        <v>3066</v>
      </c>
      <c r="I1198" s="3" t="s">
        <v>3071</v>
      </c>
      <c r="J1198" t="s">
        <v>4271</v>
      </c>
      <c r="K1198">
        <v>5</v>
      </c>
      <c r="L1198" t="s">
        <v>4292</v>
      </c>
      <c r="M1198" s="3" t="s">
        <v>4281</v>
      </c>
      <c r="N1198">
        <v>1325.06</v>
      </c>
    </row>
    <row r="1199" spans="1:14" x14ac:dyDescent="0.35">
      <c r="A1199" t="s">
        <v>1211</v>
      </c>
      <c r="B1199" t="s">
        <v>4953</v>
      </c>
      <c r="C1199" t="s">
        <v>2400</v>
      </c>
      <c r="D1199" s="3" t="s">
        <v>2405</v>
      </c>
      <c r="E1199">
        <v>2</v>
      </c>
      <c r="F1199">
        <v>436.84</v>
      </c>
      <c r="G1199" t="s">
        <v>2413</v>
      </c>
      <c r="H1199" s="3" t="s">
        <v>3066</v>
      </c>
      <c r="I1199" s="3" t="s">
        <v>3073</v>
      </c>
      <c r="J1199" t="s">
        <v>4272</v>
      </c>
      <c r="K1199">
        <v>2</v>
      </c>
      <c r="L1199" t="s">
        <v>4276</v>
      </c>
      <c r="M1199" s="3" t="s">
        <v>4278</v>
      </c>
      <c r="N1199">
        <v>873.68</v>
      </c>
    </row>
    <row r="1200" spans="1:14" x14ac:dyDescent="0.35">
      <c r="A1200" t="s">
        <v>1212</v>
      </c>
      <c r="B1200" t="s">
        <v>4954</v>
      </c>
      <c r="C1200" t="s">
        <v>2401</v>
      </c>
      <c r="D1200" s="3" t="s">
        <v>2406</v>
      </c>
      <c r="E1200">
        <v>4</v>
      </c>
      <c r="F1200">
        <v>262.52</v>
      </c>
      <c r="G1200" t="s">
        <v>3063</v>
      </c>
      <c r="H1200" s="3" t="s">
        <v>3065</v>
      </c>
      <c r="I1200" s="3" t="s">
        <v>3071</v>
      </c>
      <c r="J1200" t="s">
        <v>4273</v>
      </c>
      <c r="K1200">
        <v>4</v>
      </c>
      <c r="L1200" t="s">
        <v>4277</v>
      </c>
      <c r="M1200" s="3" t="s">
        <v>4278</v>
      </c>
      <c r="N1200">
        <v>1050.08</v>
      </c>
    </row>
    <row r="1201" spans="1:14" x14ac:dyDescent="0.35">
      <c r="A1201" t="s">
        <v>1213</v>
      </c>
      <c r="B1201" t="s">
        <v>4520</v>
      </c>
      <c r="C1201" t="s">
        <v>2402</v>
      </c>
      <c r="D1201" s="3" t="s">
        <v>2405</v>
      </c>
      <c r="E1201">
        <v>4</v>
      </c>
      <c r="F1201">
        <v>560.58000000000004</v>
      </c>
      <c r="G1201" t="s">
        <v>3064</v>
      </c>
      <c r="H1201" s="3" t="s">
        <v>3068</v>
      </c>
      <c r="I1201" s="3" t="s">
        <v>3072</v>
      </c>
      <c r="J1201" t="s">
        <v>4274</v>
      </c>
      <c r="K1201">
        <v>6</v>
      </c>
      <c r="L1201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1F08-CD1B-44BB-B7E3-9586336E6184}">
  <dimension ref="B1:K11"/>
  <sheetViews>
    <sheetView workbookViewId="0">
      <selection activeCell="C9" sqref="C9"/>
    </sheetView>
  </sheetViews>
  <sheetFormatPr defaultRowHeight="14.5" x14ac:dyDescent="0.35"/>
  <cols>
    <col min="4" max="4" width="10.26953125" customWidth="1"/>
    <col min="5" max="5" width="26.81640625" customWidth="1"/>
    <col min="6" max="6" width="21.81640625" customWidth="1"/>
  </cols>
  <sheetData>
    <row r="1" spans="2:11" x14ac:dyDescent="0.35">
      <c r="B1" s="4"/>
    </row>
    <row r="4" spans="2:11" ht="15" thickBot="1" x14ac:dyDescent="0.4">
      <c r="E4" s="7" t="s">
        <v>4955</v>
      </c>
      <c r="F4" s="10" t="s">
        <v>4956</v>
      </c>
    </row>
    <row r="5" spans="2:11" ht="15" thickTop="1" x14ac:dyDescent="0.35">
      <c r="E5" s="8" t="s">
        <v>4957</v>
      </c>
      <c r="F5" s="11">
        <f>COUNTA(Sheet1[OrderID])</f>
        <v>1200</v>
      </c>
    </row>
    <row r="6" spans="2:11" x14ac:dyDescent="0.35">
      <c r="D6" s="15"/>
      <c r="E6" s="9" t="s">
        <v>4958</v>
      </c>
      <c r="F6" s="12">
        <f>SUM(Sheet1[TotalPrice])</f>
        <v>1264761.9600000004</v>
      </c>
    </row>
    <row r="7" spans="2:11" x14ac:dyDescent="0.35">
      <c r="E7" s="6" t="s">
        <v>4959</v>
      </c>
      <c r="F7" s="13">
        <f>AVERAGE(Sheet1[UnitPrice])</f>
        <v>356.41275000000007</v>
      </c>
      <c r="H7" s="5"/>
      <c r="I7" s="5"/>
      <c r="J7" s="5"/>
      <c r="K7" s="5"/>
    </row>
    <row r="8" spans="2:11" x14ac:dyDescent="0.35">
      <c r="E8" s="16" t="s">
        <v>4960</v>
      </c>
      <c r="F8" s="17">
        <f>_xlfn.MODE.SNGL(Sheet1[UnitPrice])</f>
        <v>127.18</v>
      </c>
      <c r="H8" s="5"/>
      <c r="I8" s="5"/>
      <c r="J8" s="5"/>
      <c r="K8" s="5"/>
    </row>
    <row r="9" spans="2:11" x14ac:dyDescent="0.35">
      <c r="E9" s="18" t="s">
        <v>4961</v>
      </c>
      <c r="F9" s="19">
        <f>MEDIAN(Sheet1[UnitPrice])</f>
        <v>364.21</v>
      </c>
      <c r="H9" s="5"/>
      <c r="I9" s="5"/>
      <c r="J9" s="5"/>
      <c r="K9" s="5"/>
    </row>
    <row r="10" spans="2:11" x14ac:dyDescent="0.35">
      <c r="E10" s="16" t="s">
        <v>4962</v>
      </c>
      <c r="F10" s="17">
        <f>MIN(Sheet1[UnitPrice])</f>
        <v>11.39</v>
      </c>
      <c r="H10" s="5"/>
      <c r="I10" s="5"/>
      <c r="J10" s="5"/>
      <c r="K10" s="5"/>
    </row>
    <row r="11" spans="2:11" x14ac:dyDescent="0.35">
      <c r="E11" s="18" t="s">
        <v>4963</v>
      </c>
      <c r="F11" s="19">
        <f>MAX(Sheet1[UnitPrice])</f>
        <v>699.93</v>
      </c>
      <c r="H11" s="5"/>
      <c r="I11" s="5"/>
      <c r="J11" s="5"/>
      <c r="K11" s="5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E7D5-3019-486C-B45A-997819065152}">
  <dimension ref="C3:D9"/>
  <sheetViews>
    <sheetView tabSelected="1" workbookViewId="0">
      <selection activeCell="C16" sqref="C16"/>
    </sheetView>
  </sheetViews>
  <sheetFormatPr defaultRowHeight="14.5" x14ac:dyDescent="0.35"/>
  <cols>
    <col min="3" max="3" width="25.1796875" customWidth="1"/>
    <col min="4" max="4" width="29.6328125" customWidth="1"/>
  </cols>
  <sheetData>
    <row r="3" spans="3:4" x14ac:dyDescent="0.35">
      <c r="C3" s="24" t="s">
        <v>4964</v>
      </c>
      <c r="D3" s="25" t="s">
        <v>4965</v>
      </c>
    </row>
    <row r="4" spans="3:4" x14ac:dyDescent="0.35">
      <c r="C4" t="s">
        <v>4966</v>
      </c>
      <c r="D4" s="14">
        <f>_xlfn.PERCENTILE.INC(Sheet1[TotalPrice],0.25)</f>
        <v>410.52</v>
      </c>
    </row>
    <row r="5" spans="3:4" x14ac:dyDescent="0.35">
      <c r="C5" t="s">
        <v>4967</v>
      </c>
      <c r="D5" s="14">
        <f>_xlfn.PERCENTILE.INC(Sheet1[TotalPrice],0.75)</f>
        <v>1578.4749999999999</v>
      </c>
    </row>
    <row r="6" spans="3:4" x14ac:dyDescent="0.35">
      <c r="C6" t="s">
        <v>4968</v>
      </c>
      <c r="D6" s="20">
        <f>D5-D4</f>
        <v>1167.9549999999999</v>
      </c>
    </row>
    <row r="7" spans="3:4" x14ac:dyDescent="0.35">
      <c r="C7" t="s">
        <v>4969</v>
      </c>
      <c r="D7" s="20">
        <f>D5+(1.5*D6)</f>
        <v>3330.4074999999998</v>
      </c>
    </row>
    <row r="8" spans="3:4" x14ac:dyDescent="0.35">
      <c r="C8" t="s">
        <v>4970</v>
      </c>
      <c r="D8" s="20">
        <f>D4-(1.5*D6)</f>
        <v>-1341.4124999999999</v>
      </c>
    </row>
    <row r="9" spans="3:4" x14ac:dyDescent="0.35">
      <c r="C9" t="s">
        <v>4971</v>
      </c>
      <c r="D9">
        <f>COUNTIF(Sheet1[TotalPrice], "&lt;"&amp;Outliers!D8)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0C9E-5786-4705-B0D3-D48143893D58}">
  <dimension ref="A1:G21"/>
  <sheetViews>
    <sheetView showGridLines="0" workbookViewId="0">
      <selection activeCell="G25" sqref="G25"/>
    </sheetView>
  </sheetViews>
  <sheetFormatPr defaultRowHeight="14.5" x14ac:dyDescent="0.35"/>
  <cols>
    <col min="1" max="1" width="12.36328125" bestFit="1" customWidth="1"/>
    <col min="2" max="2" width="15.54296875" bestFit="1" customWidth="1"/>
    <col min="3" max="3" width="14.54296875" bestFit="1" customWidth="1"/>
    <col min="5" max="5" width="12.36328125" bestFit="1" customWidth="1"/>
    <col min="6" max="6" width="18.7265625" bestFit="1" customWidth="1"/>
    <col min="7" max="7" width="15.54296875" bestFit="1" customWidth="1"/>
    <col min="8" max="8" width="16.36328125" bestFit="1" customWidth="1"/>
  </cols>
  <sheetData>
    <row r="1" spans="1:7" x14ac:dyDescent="0.35">
      <c r="A1" s="21" t="s">
        <v>4972</v>
      </c>
      <c r="B1" t="s">
        <v>4974</v>
      </c>
      <c r="C1" t="s">
        <v>4975</v>
      </c>
    </row>
    <row r="2" spans="1:7" x14ac:dyDescent="0.35">
      <c r="A2" s="22" t="s">
        <v>2406</v>
      </c>
      <c r="B2" s="3">
        <v>195620.11000000002</v>
      </c>
      <c r="C2" s="3">
        <v>562</v>
      </c>
    </row>
    <row r="3" spans="1:7" x14ac:dyDescent="0.35">
      <c r="A3" s="22" t="s">
        <v>2407</v>
      </c>
      <c r="B3" s="3">
        <v>195612.60999999996</v>
      </c>
      <c r="C3" s="3">
        <v>542</v>
      </c>
      <c r="E3" s="23" t="s">
        <v>4979</v>
      </c>
    </row>
    <row r="4" spans="1:7" x14ac:dyDescent="0.35">
      <c r="A4" s="22" t="s">
        <v>2408</v>
      </c>
      <c r="B4" s="3">
        <v>192126.55999999994</v>
      </c>
      <c r="C4" s="3">
        <v>535</v>
      </c>
      <c r="E4" s="21" t="s">
        <v>4972</v>
      </c>
      <c r="F4" s="21" t="s">
        <v>4976</v>
      </c>
      <c r="G4" t="s">
        <v>4974</v>
      </c>
    </row>
    <row r="5" spans="1:7" x14ac:dyDescent="0.35">
      <c r="A5" s="22" t="s">
        <v>2405</v>
      </c>
      <c r="B5" s="3">
        <v>186568.95000000007</v>
      </c>
      <c r="C5" s="3">
        <v>497</v>
      </c>
      <c r="E5" s="22" t="s">
        <v>3069</v>
      </c>
      <c r="F5" s="3">
        <v>246</v>
      </c>
      <c r="G5" s="3">
        <v>259786.28999999992</v>
      </c>
    </row>
    <row r="6" spans="1:7" x14ac:dyDescent="0.35">
      <c r="A6" s="22" t="s">
        <v>2403</v>
      </c>
      <c r="B6" s="3">
        <v>175651.40999999997</v>
      </c>
      <c r="C6" s="3">
        <v>480</v>
      </c>
      <c r="E6" s="22" t="s">
        <v>3067</v>
      </c>
      <c r="F6" s="3">
        <v>234</v>
      </c>
      <c r="G6" s="3">
        <v>263847.62999999989</v>
      </c>
    </row>
    <row r="7" spans="1:7" x14ac:dyDescent="0.35">
      <c r="A7" s="22" t="s">
        <v>2409</v>
      </c>
      <c r="B7" s="3">
        <v>167459.93</v>
      </c>
      <c r="C7" s="3">
        <v>508</v>
      </c>
      <c r="E7" s="22" t="s">
        <v>3065</v>
      </c>
      <c r="F7" s="3">
        <v>232</v>
      </c>
      <c r="G7" s="3">
        <v>232361.17999999996</v>
      </c>
    </row>
    <row r="8" spans="1:7" x14ac:dyDescent="0.35">
      <c r="A8" s="22" t="s">
        <v>2404</v>
      </c>
      <c r="B8" s="3">
        <v>151722.39000000001</v>
      </c>
      <c r="C8" s="3">
        <v>411</v>
      </c>
      <c r="E8" s="22" t="s">
        <v>3068</v>
      </c>
      <c r="F8" s="3">
        <v>230</v>
      </c>
      <c r="G8" s="3">
        <v>246323.9200000001</v>
      </c>
    </row>
    <row r="9" spans="1:7" x14ac:dyDescent="0.35">
      <c r="A9" s="22" t="s">
        <v>4973</v>
      </c>
      <c r="B9" s="3">
        <v>1264761.96</v>
      </c>
      <c r="C9" s="3">
        <v>3535</v>
      </c>
      <c r="E9" s="22" t="s">
        <v>3066</v>
      </c>
      <c r="F9" s="3">
        <v>258</v>
      </c>
      <c r="G9" s="3">
        <v>262442.94000000012</v>
      </c>
    </row>
    <row r="10" spans="1:7" x14ac:dyDescent="0.35">
      <c r="E10" s="22" t="s">
        <v>4973</v>
      </c>
      <c r="F10" s="3">
        <v>1200</v>
      </c>
      <c r="G10" s="3">
        <v>1264761.9599999988</v>
      </c>
    </row>
    <row r="12" spans="1:7" x14ac:dyDescent="0.35">
      <c r="A12" s="23" t="s">
        <v>4980</v>
      </c>
    </row>
    <row r="13" spans="1:7" x14ac:dyDescent="0.35">
      <c r="A13" s="21" t="s">
        <v>4972</v>
      </c>
      <c r="B13" t="s">
        <v>4976</v>
      </c>
    </row>
    <row r="14" spans="1:7" x14ac:dyDescent="0.35">
      <c r="A14" s="22" t="s">
        <v>3071</v>
      </c>
      <c r="B14" s="3">
        <v>250</v>
      </c>
      <c r="E14" s="23" t="s">
        <v>4978</v>
      </c>
    </row>
    <row r="15" spans="1:7" x14ac:dyDescent="0.35">
      <c r="A15" s="22" t="s">
        <v>3073</v>
      </c>
      <c r="B15" s="3">
        <v>231</v>
      </c>
      <c r="E15" s="21" t="s">
        <v>4972</v>
      </c>
      <c r="F15" t="s">
        <v>4977</v>
      </c>
    </row>
    <row r="16" spans="1:7" x14ac:dyDescent="0.35">
      <c r="A16" s="22" t="s">
        <v>3074</v>
      </c>
      <c r="B16" s="3">
        <v>237</v>
      </c>
      <c r="E16" s="22" t="s">
        <v>4280</v>
      </c>
      <c r="F16" s="3">
        <v>250</v>
      </c>
    </row>
    <row r="17" spans="1:6" x14ac:dyDescent="0.35">
      <c r="A17" s="22" t="s">
        <v>3072</v>
      </c>
      <c r="B17" s="3">
        <v>247</v>
      </c>
      <c r="E17" s="22" t="s">
        <v>4281</v>
      </c>
      <c r="F17" s="3">
        <v>228</v>
      </c>
    </row>
    <row r="18" spans="1:6" x14ac:dyDescent="0.35">
      <c r="A18" s="22" t="s">
        <v>3070</v>
      </c>
      <c r="B18" s="3">
        <v>235</v>
      </c>
      <c r="E18" s="22" t="s">
        <v>4282</v>
      </c>
      <c r="F18" s="3">
        <v>241</v>
      </c>
    </row>
    <row r="19" spans="1:6" x14ac:dyDescent="0.35">
      <c r="A19" s="22" t="s">
        <v>4973</v>
      </c>
      <c r="B19" s="3">
        <v>1200</v>
      </c>
      <c r="E19" s="22" t="s">
        <v>4278</v>
      </c>
      <c r="F19" s="3">
        <v>259</v>
      </c>
    </row>
    <row r="20" spans="1:6" x14ac:dyDescent="0.35">
      <c r="E20" s="22" t="s">
        <v>4279</v>
      </c>
      <c r="F20" s="3">
        <v>222</v>
      </c>
    </row>
    <row r="21" spans="1:6" x14ac:dyDescent="0.35">
      <c r="E21" s="22" t="s">
        <v>4973</v>
      </c>
      <c r="F21" s="3">
        <v>1200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DF0BE5-7493-44D7-82A1-00F04CC13A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Messy Data</vt:lpstr>
      <vt:lpstr>Cleaned Data</vt:lpstr>
      <vt:lpstr>Descriptive Analysis</vt:lpstr>
      <vt:lpstr>Outliers</vt:lpstr>
      <vt:lpstr>Key Observation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 5400 TOUCH</dc:creator>
  <cp:lastModifiedBy>DEL 5400 TOUCH</cp:lastModifiedBy>
  <dcterms:created xsi:type="dcterms:W3CDTF">2025-06-21T13:19:12Z</dcterms:created>
  <dcterms:modified xsi:type="dcterms:W3CDTF">2026-09-15T13:34:58Z</dcterms:modified>
</cp:coreProperties>
</file>